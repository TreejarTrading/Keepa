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одель" sheetId="1" state="visible" r:id="rId1"/>
    <sheet xmlns:r="http://schemas.openxmlformats.org/officeDocument/2006/relationships" name="Юнит-экономика" sheetId="2" state="visible" r:id="rId2"/>
    <sheet xmlns:r="http://schemas.openxmlformats.org/officeDocument/2006/relationships" name="Сценарии" sheetId="3" state="visible" r:id="rId3"/>
    <sheet xmlns:r="http://schemas.openxmlformats.org/officeDocument/2006/relationships" name="Кандидаты US→ОАЭ" sheetId="4" state="visible" r:id="rId4"/>
    <sheet xmlns:r="http://schemas.openxmlformats.org/officeDocument/2006/relationships" name="Инструкция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"/>
    <numFmt numFmtId="165" formatCode="#,##0.00&quot; AED&quot;"/>
    <numFmt numFmtId="166" formatCode="0.0%"/>
    <numFmt numFmtId="167" formatCode="#,##0&quot; $&quot;"/>
    <numFmt numFmtId="168" formatCode="0.0"/>
    <numFmt numFmtId="169" formatCode="&quot;÷&quot;0"/>
    <numFmt numFmtId="170" formatCode="#,##0.00&quot; $&quot;"/>
  </numFmts>
  <fonts count="7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808080"/>
      <sz val="9"/>
    </font>
    <font>
      <b val="1"/>
      <color rgb="00FFFFFF"/>
      <sz val="12"/>
    </font>
    <font>
      <b val="1"/>
    </font>
    <font>
      <i val="1"/>
      <color rgb="00C00000"/>
    </font>
    <font>
      <color rgb="000563C1"/>
      <u val="single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6E4F0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0" borderId="0" pivotButton="0" quotePrefix="0" xfId="0"/>
    <xf numFmtId="164" fontId="0" fillId="3" borderId="1" pivotButton="0" quotePrefix="0" xfId="0"/>
    <xf numFmtId="165" fontId="0" fillId="3" borderId="1" pivotButton="0" quotePrefix="0" xfId="0"/>
    <xf numFmtId="166" fontId="0" fillId="3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0" fillId="4" borderId="1" pivotButton="0" quotePrefix="0" xfId="0"/>
    <xf numFmtId="3" fontId="0" fillId="4" borderId="1" pivotButton="0" quotePrefix="0" xfId="0"/>
    <xf numFmtId="3" fontId="0" fillId="3" borderId="1" pivotButton="0" quotePrefix="0" xfId="0"/>
    <xf numFmtId="167" fontId="0" fillId="4" borderId="1" pivotButton="0" quotePrefix="0" xfId="0"/>
    <xf numFmtId="168" fontId="0" fillId="4" borderId="1" pivotButton="0" quotePrefix="0" xfId="0"/>
    <xf numFmtId="0" fontId="5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3" fillId="2" borderId="0" pivotButton="0" quotePrefix="0" xfId="0"/>
    <xf numFmtId="0" fontId="0" fillId="0" borderId="1" pivotButton="0" quotePrefix="0" xfId="0"/>
    <xf numFmtId="0" fontId="6" fillId="0" borderId="1" pivotButton="0" quotePrefix="0" xfId="0"/>
    <xf numFmtId="0" fontId="0" fillId="8" borderId="1" pivotButton="0" quotePrefix="0" xfId="0"/>
    <xf numFmtId="3" fontId="0" fillId="8" borderId="1" pivotButton="0" quotePrefix="0" xfId="0"/>
    <xf numFmtId="0" fontId="5" fillId="0" borderId="0" pivotButton="0" quotePrefix="0" xfId="0"/>
    <xf numFmtId="166" fontId="4" fillId="5" borderId="0" pivotButton="0" quotePrefix="0" xfId="0"/>
    <xf numFmtId="165" fontId="4" fillId="0" borderId="0" pivotButton="0" quotePrefix="0" xfId="0"/>
    <xf numFmtId="3" fontId="0" fillId="0" borderId="1" pivotButton="0" quotePrefix="0" xfId="0"/>
    <xf numFmtId="169" fontId="4" fillId="5" borderId="0" pivotButton="0" quotePrefix="0" xfId="0"/>
    <xf numFmtId="3" fontId="4" fillId="0" borderId="0" pivotButton="0" quotePrefix="0" xfId="0"/>
    <xf numFmtId="170" fontId="0" fillId="0" borderId="1" pivotButton="0" quotePrefix="0" xfId="0"/>
    <xf numFmtId="165" fontId="0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amazon.com/dp/B089KJTW4V" TargetMode="External" Id="rId1"/><Relationship Type="http://schemas.openxmlformats.org/officeDocument/2006/relationships/hyperlink" Target="https://www.amazon.com/dp/B0DNFTL63F" TargetMode="External" Id="rId2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mazon.com/dp/B089KJTW4V" TargetMode="External" Id="rId1"/><Relationship Type="http://schemas.openxmlformats.org/officeDocument/2006/relationships/hyperlink" Target="https://keepa.com/#!product/1-B089KJTW4V" TargetMode="External" Id="rId2"/><Relationship Type="http://schemas.openxmlformats.org/officeDocument/2006/relationships/hyperlink" Target="https://www.amazon.com/dp/B0DNFTL63F" TargetMode="External" Id="rId3"/><Relationship Type="http://schemas.openxmlformats.org/officeDocument/2006/relationships/hyperlink" Target="https://keepa.com/#!product/1-B0DNFTL63F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6" customWidth="1" min="2" max="2"/>
    <col width="60" customWidth="1" min="3" max="3"/>
  </cols>
  <sheetData>
    <row r="1">
      <c r="A1" s="1" t="inlineStr">
        <is>
          <t>ФИН-МОДЕЛЬ: Health Products — США → ОАЭ</t>
        </is>
      </c>
    </row>
    <row r="2">
      <c r="A2" s="2" t="inlineStr">
        <is>
          <t>Жёлтые ячейки — вводишь свои данные. Зелёные — считаются сами.</t>
        </is>
      </c>
    </row>
    <row r="4">
      <c r="A4" s="3" t="inlineStr">
        <is>
          <t>1. КУРС И ЦЕЛЬ</t>
        </is>
      </c>
      <c r="B4" s="4" t="n"/>
      <c r="C4" s="4" t="n"/>
      <c r="D4" s="4" t="n"/>
    </row>
    <row r="5">
      <c r="A5" s="5" t="inlineStr">
        <is>
          <t>Курс USD → AED</t>
        </is>
      </c>
      <c r="B5" s="6" t="n">
        <v>3.6725</v>
      </c>
      <c r="C5" s="2" t="inlineStr">
        <is>
          <t>дирхам привязан к доллару (~3.6725)</t>
        </is>
      </c>
    </row>
    <row r="6">
      <c r="A6" s="5" t="inlineStr">
        <is>
          <t>Целевая ЧИСТАЯ прибыль, AED/мес</t>
        </is>
      </c>
      <c r="B6" s="7" t="n">
        <v>3500</v>
      </c>
      <c r="C6" s="2" t="inlineStr">
        <is>
          <t>«на руки» — из ТЗ ≈ 3 500 AED</t>
        </is>
      </c>
    </row>
    <row r="7">
      <c r="A7" s="5" t="inlineStr">
        <is>
          <t>Целевой ОБОРОТ, AED/мес (альтерн. цель)</t>
        </is>
      </c>
      <c r="B7" s="7" t="n">
        <v>10000</v>
      </c>
      <c r="C7" s="2" t="inlineStr">
        <is>
          <t>из ТЗ — 10 000 AED выручки</t>
        </is>
      </c>
    </row>
    <row r="9">
      <c r="A9" s="3" t="inlineStr">
        <is>
          <t>2. ЮНИТ-ЭКОНОМИКА (на 1 шт, в AED)</t>
        </is>
      </c>
      <c r="B9" s="4" t="n"/>
      <c r="C9" s="4" t="n"/>
      <c r="D9" s="4" t="n"/>
    </row>
    <row r="10">
      <c r="A10" s="5" t="inlineStr">
        <is>
          <t>Цена продажи на amazon.ae / noon, AED</t>
        </is>
      </c>
      <c r="B10" s="7" t="n">
        <v>150</v>
      </c>
      <c r="C10" s="2" t="inlineStr">
        <is>
          <t>розничная цена за 1 шт</t>
        </is>
      </c>
    </row>
    <row r="11">
      <c r="A11" s="5" t="inlineStr">
        <is>
          <t>Себестоимость landed (завод+логистика в ОАЭ), AED</t>
        </is>
      </c>
      <c r="B11" s="7" t="n">
        <v>40</v>
      </c>
      <c r="C11" s="2" t="inlineStr">
        <is>
          <t>закупка + доставка + растаможка на 1 шт</t>
        </is>
      </c>
    </row>
    <row r="12">
      <c r="A12" s="5" t="inlineStr">
        <is>
          <t>Реферальная комиссия Amazon, %</t>
        </is>
      </c>
      <c r="B12" s="8" t="n">
        <v>0.15</v>
      </c>
      <c r="C12" s="2" t="inlineStr">
        <is>
          <t>Health/Beauty на amazon.ae ≈ 8–15%</t>
        </is>
      </c>
    </row>
    <row r="13">
      <c r="A13" s="5" t="inlineStr">
        <is>
          <t>Фулфилмент FBA, AED/шт</t>
        </is>
      </c>
      <c r="B13" s="7" t="n">
        <v>15</v>
      </c>
      <c r="C13" s="2" t="inlineStr">
        <is>
          <t>pick&amp;pack + вес; лёгкий товар дешевле</t>
        </is>
      </c>
    </row>
    <row r="14">
      <c r="A14" s="5" t="inlineStr">
        <is>
          <t>Реклама PPC, AED/шт</t>
        </is>
      </c>
      <c r="B14" s="7" t="n">
        <v>15</v>
      </c>
      <c r="C14" s="2" t="inlineStr">
        <is>
          <t>бюджет продвижения на 1 проданную шт</t>
        </is>
      </c>
    </row>
    <row r="15">
      <c r="A15" s="5" t="inlineStr">
        <is>
          <t>Возвраты + прочее, % от цены</t>
        </is>
      </c>
      <c r="B15" s="8" t="n">
        <v>0.03</v>
      </c>
      <c r="C15" s="2" t="inlineStr">
        <is>
          <t>брак, возвраты, упаковка</t>
        </is>
      </c>
    </row>
    <row r="16">
      <c r="A16" s="5" t="inlineStr">
        <is>
          <t>НДС (VAT) ОАЭ, %</t>
        </is>
      </c>
      <c r="B16" s="8" t="n">
        <v>0.05</v>
      </c>
      <c r="C16" s="2" t="inlineStr">
        <is>
          <t>5% — собирается сверху и перечисляется, в прибыль НЕ идёт</t>
        </is>
      </c>
    </row>
    <row r="17">
      <c r="A17" s="5" t="inlineStr">
        <is>
          <t xml:space="preserve">  → Реферальная комиссия, AED</t>
        </is>
      </c>
      <c r="B17" s="9">
        <f>B10*B12</f>
        <v/>
      </c>
    </row>
    <row r="18">
      <c r="A18" s="5" t="inlineStr">
        <is>
          <t xml:space="preserve">  → Возвраты/прочее, AED</t>
        </is>
      </c>
      <c r="B18" s="9">
        <f>B10*B15</f>
        <v/>
      </c>
    </row>
    <row r="19">
      <c r="A19" s="5" t="inlineStr">
        <is>
          <t xml:space="preserve">  → ВАЛОВАЯ прибыль с 1 шт, AED</t>
        </is>
      </c>
      <c r="B19" s="9">
        <f>B10-B11-B17-B13-B14-B18</f>
        <v/>
      </c>
      <c r="C19" s="2" t="inlineStr">
        <is>
          <t>цена минус все переменные затраты (без НДС)</t>
        </is>
      </c>
    </row>
    <row r="20">
      <c r="A20" s="5" t="inlineStr">
        <is>
          <t xml:space="preserve">  → Маржа, % от цены</t>
        </is>
      </c>
      <c r="B20" s="10">
        <f>B19/B10</f>
        <v/>
      </c>
      <c r="C20" s="2" t="inlineStr">
        <is>
          <t>цель по ТЗ: ≥ 30%</t>
        </is>
      </c>
    </row>
    <row r="21">
      <c r="A21" s="5" t="inlineStr">
        <is>
          <t xml:space="preserve">  → Проверка маржи (≥30%?)</t>
        </is>
      </c>
      <c r="B21" s="11">
        <f>IF(B20&gt;=0.3,"✅ OK (≥30%)","⚠️ ниже 30% — поднять цену / снизить COGS")</f>
        <v/>
      </c>
    </row>
    <row r="23">
      <c r="A23" s="3" t="inlineStr">
        <is>
          <t>3. СКОЛЬКО ПРОДАВАТЬ (расчёт объёма)</t>
        </is>
      </c>
      <c r="B23" s="4" t="n"/>
      <c r="C23" s="4" t="n"/>
      <c r="D23" s="4" t="n"/>
    </row>
    <row r="24">
      <c r="A24" s="5" t="inlineStr">
        <is>
          <t>Фикс. расходы, AED/мес</t>
        </is>
      </c>
      <c r="B24" s="7" t="n">
        <v>300</v>
      </c>
      <c r="C24" s="2" t="inlineStr">
        <is>
          <t>хранение, подписка seller, сервисы</t>
        </is>
      </c>
    </row>
    <row r="25">
      <c r="A25" s="5" t="inlineStr">
        <is>
          <t>Юнитов/мес для целевой ПРИБЫЛИ</t>
        </is>
      </c>
      <c r="B25" s="12">
        <f>ROUNDUP((B6+B24)/B19,0)</f>
        <v/>
      </c>
      <c r="C25" s="2">
        <f> (цель прибыли + фикс) / валовая прибыль с шт</f>
        <v/>
      </c>
    </row>
    <row r="26">
      <c r="A26" s="5" t="inlineStr">
        <is>
          <t xml:space="preserve">  → Оборот при этом объёме, AED/мес</t>
        </is>
      </c>
      <c r="B26" s="9">
        <f>B25*B10</f>
        <v/>
      </c>
    </row>
    <row r="27">
      <c r="A27" s="5" t="inlineStr">
        <is>
          <t>Юнитов/мес для целевого ОБОРОТА</t>
        </is>
      </c>
      <c r="B27" s="12">
        <f>ROUNDUP(B7/B10,0)</f>
        <v/>
      </c>
      <c r="C27" s="2">
        <f> целевой оборот / цена</f>
        <v/>
      </c>
    </row>
    <row r="28">
      <c r="A28" s="5" t="inlineStr">
        <is>
          <t xml:space="preserve">  → Чистая прибыль при этом обороте, AED/мес</t>
        </is>
      </c>
      <c r="B28" s="9">
        <f>B27*B19-B24</f>
        <v/>
      </c>
    </row>
    <row r="30">
      <c r="A30" s="3" t="inlineStr">
        <is>
          <t>4. ПРОВЕРКА СПРОСА: США → ОАЭ (÷ коэффициент)</t>
        </is>
      </c>
      <c r="B30" s="4" t="n"/>
      <c r="C30" s="4" t="n"/>
      <c r="D30" s="4" t="n"/>
    </row>
    <row r="31">
      <c r="A31" s="5" t="inlineStr">
        <is>
          <t>Продажи в США, шт/мес (из Keepa)</t>
        </is>
      </c>
      <c r="B31" s="13" t="n">
        <v>10000</v>
      </c>
      <c r="C31" s="2" t="inlineStr">
        <is>
          <t>monthly_sold конкретного товара/ниши</t>
        </is>
      </c>
    </row>
    <row r="32">
      <c r="A32" s="5" t="inlineStr">
        <is>
          <t>Понижающий коэффициент США→ОАЭ</t>
        </is>
      </c>
      <c r="B32" s="13" t="n">
        <v>40</v>
      </c>
      <c r="C32" s="2" t="inlineStr">
        <is>
          <t>из ТЗ: 2000 в США → 50 в ОАЭ = ÷40</t>
        </is>
      </c>
    </row>
    <row r="33">
      <c r="A33" s="5" t="inlineStr">
        <is>
          <t xml:space="preserve">  → Оценка спроса ОАЭ, шт/мес (весь рынок)</t>
        </is>
      </c>
      <c r="B33" s="12">
        <f>ROUND(B31/B32,0)</f>
        <v/>
      </c>
      <c r="C33" s="2" t="inlineStr">
        <is>
          <t>весь объём ниши в ОАЭ, не наш</t>
        </is>
      </c>
    </row>
    <row r="34">
      <c r="A34" s="5" t="inlineStr">
        <is>
          <t xml:space="preserve">  → Наша доля рынка для цели по прибыли</t>
        </is>
      </c>
      <c r="B34" s="10">
        <f>B25/B33</f>
        <v/>
      </c>
      <c r="C34" s="2" t="inlineStr">
        <is>
          <t>какую долю ниши надо взять</t>
        </is>
      </c>
    </row>
    <row r="35">
      <c r="A35" s="5" t="inlineStr">
        <is>
          <t xml:space="preserve">  → ВЕРДИКТ по реалистичности</t>
        </is>
      </c>
      <c r="B35" s="11">
        <f>IF(B25&lt;=B33*0.3,"✅ РЕАЛЬНО (нужно ≤30% ниши)",IF(B25&lt;=B33,"⚠️ НАПРЯЖНО (нужна большая доля ниши)","❌ НЕ ВЛЕЗАЕМ (спрос ОАЭ меньше цели)"))</f>
        <v/>
      </c>
    </row>
    <row r="37">
      <c r="A37" s="3" t="inlineStr">
        <is>
          <t>5. ЗАКУПКА (первая партия)</t>
        </is>
      </c>
      <c r="B37" s="4" t="n"/>
      <c r="C37" s="4" t="n"/>
      <c r="D37" s="4" t="n"/>
    </row>
    <row r="38">
      <c r="A38" s="5" t="inlineStr">
        <is>
          <t>На сколько месяцев берём запас</t>
        </is>
      </c>
      <c r="B38" s="13" t="n">
        <v>2</v>
      </c>
      <c r="C38" s="2" t="inlineStr">
        <is>
          <t>1-я партия обычно на 1.5–2.5 мес</t>
        </is>
      </c>
    </row>
    <row r="39">
      <c r="A39" s="5" t="inlineStr">
        <is>
          <t>Юнитов заказать (по цели прибыли)</t>
        </is>
      </c>
      <c r="B39" s="12">
        <f>ROUNDUP(B25*B38,0)</f>
        <v/>
      </c>
    </row>
    <row r="40">
      <c r="A40" s="5" t="inlineStr">
        <is>
          <t>Капитал на партию, AED</t>
        </is>
      </c>
      <c r="B40" s="9">
        <f>B39*B11</f>
        <v/>
      </c>
      <c r="C40" s="2">
        <f> юнитов × себестоимость</f>
        <v/>
      </c>
    </row>
    <row r="41">
      <c r="A41" s="5" t="inlineStr">
        <is>
          <t xml:space="preserve">  → то же в USD</t>
        </is>
      </c>
      <c r="B41" s="14">
        <f>B40/B5</f>
        <v/>
      </c>
    </row>
    <row r="42">
      <c r="A42" s="5" t="inlineStr">
        <is>
          <t>Окупаемость партии, мес</t>
        </is>
      </c>
      <c r="B42" s="15">
        <f>B40/(B25*B19)</f>
        <v/>
      </c>
      <c r="C42" s="2" t="inlineStr">
        <is>
          <t>капитал / валовая прибыль в мес</t>
        </is>
      </c>
    </row>
    <row r="45">
      <c r="A45" s="16" t="inlineStr">
        <is>
          <t>Как читать: заполни жёлтые ячейки (цена, себестоимость, продажи в США, коэффициент). Строка «Юнитов/мес для целевой ПРИБЫЛИ» и «ВЕРДИКТ по реалистичности» — главный ответ. Если вердикт ❌/⚠️ — снижай цель, поднимай цену/маржу или бери коэффициент реалистичнее.</t>
        </is>
      </c>
    </row>
    <row r="46"/>
    <row r="47"/>
  </sheetData>
  <mergeCells count="1">
    <mergeCell ref="A45:C4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3" customWidth="1" min="4" max="4"/>
    <col width="12" customWidth="1" min="5" max="5"/>
    <col width="9" customWidth="1" min="6" max="6"/>
    <col width="9" customWidth="1" min="7" max="7"/>
    <col width="10" customWidth="1" min="8" max="8"/>
    <col width="12" customWidth="1" min="9" max="9"/>
    <col width="14" customWidth="1" min="10" max="10"/>
    <col width="14" customWidth="1" min="11" max="11"/>
    <col width="9" customWidth="1" min="12" max="12"/>
    <col width="13" customWidth="1" min="13" max="13"/>
    <col width="13" customWidth="1" min="14" max="14"/>
    <col width="10" customWidth="1" min="15" max="15"/>
    <col width="10" customWidth="1" min="16" max="16"/>
    <col width="14" customWidth="1" min="17" max="17"/>
  </cols>
  <sheetData>
    <row r="1">
      <c r="A1" s="1" t="inlineStr">
        <is>
          <t>ЮНИТ-ЭКОНОМИКА ПО ТОВАРАМ — подставляй свои COGS и fees</t>
        </is>
      </c>
    </row>
    <row r="2">
      <c r="A2" s="2" t="inlineStr">
        <is>
          <t>ЖЁЛТЫЕ столбцы (цена, COGS, комиссия %, FBA, PPC, возвраты) — вводишь под свой товар. ЗЕЛЁНЫЕ — считаются формулой. Цель прибыли, фикс и коэффициент берутся с листа «Модель».</t>
        </is>
      </c>
    </row>
    <row r="4" ht="42" customHeight="1">
      <c r="A4" s="17" t="inlineStr">
        <is>
          <t>Товар (не БАД)</t>
        </is>
      </c>
      <c r="B4" s="17" t="inlineStr">
        <is>
          <t>Продажи US, шт/мес</t>
        </is>
      </c>
      <c r="C4" s="17" t="inlineStr">
        <is>
          <t>Цена ОАЭ, AED</t>
        </is>
      </c>
      <c r="D4" s="17" t="inlineStr">
        <is>
          <t>COGS landed, AED</t>
        </is>
      </c>
      <c r="E4" s="17" t="inlineStr">
        <is>
          <t>Комиссия Amazon, %</t>
        </is>
      </c>
      <c r="F4" s="17" t="inlineStr">
        <is>
          <t>FBA, AED</t>
        </is>
      </c>
      <c r="G4" s="17" t="inlineStr">
        <is>
          <t>PPC, AED</t>
        </is>
      </c>
      <c r="H4" s="17" t="inlineStr">
        <is>
          <t>Возвраты, %</t>
        </is>
      </c>
      <c r="I4" s="17" t="inlineStr">
        <is>
          <t>Комиссия, AED</t>
        </is>
      </c>
      <c r="J4" s="17" t="inlineStr">
        <is>
          <t>Перем. затраты, AED</t>
        </is>
      </c>
      <c r="K4" s="17" t="inlineStr">
        <is>
          <t>Валовая приб./шт, AED</t>
        </is>
      </c>
      <c r="L4" s="17" t="inlineStr">
        <is>
          <t>Маржа, %</t>
        </is>
      </c>
      <c r="M4" s="17" t="inlineStr">
        <is>
          <t>Юнитов/мес для цели</t>
        </is>
      </c>
      <c r="N4" s="17" t="inlineStr">
        <is>
          <t>Спрос ОАЭ, шт/мес</t>
        </is>
      </c>
      <c r="O4" s="17" t="inlineStr">
        <is>
          <t>Доля ниши</t>
        </is>
      </c>
      <c r="P4" s="17" t="inlineStr">
        <is>
          <t>Вердикт</t>
        </is>
      </c>
      <c r="Q4" s="17" t="inlineStr">
        <is>
          <t>ASIN (Amazon)</t>
        </is>
      </c>
    </row>
    <row r="5">
      <c r="A5" s="18" t="inlineStr">
        <is>
          <t>▸ Массаж и восстановление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</row>
    <row r="6">
      <c r="A6" s="19" t="inlineStr">
        <is>
          <t>Массажный пистолет (percussion) (TOLOCO/RENPHO)</t>
        </is>
      </c>
      <c r="B6" s="13" t="n">
        <v>4000</v>
      </c>
      <c r="C6" s="7" t="n">
        <v>220.31</v>
      </c>
      <c r="D6" s="7" t="n">
        <v>66.09</v>
      </c>
      <c r="E6" s="8" t="n">
        <v>0.15</v>
      </c>
      <c r="F6" s="7" t="n">
        <v>12</v>
      </c>
      <c r="G6" s="7" t="n">
        <v>12</v>
      </c>
      <c r="H6" s="8" t="n">
        <v>0.03</v>
      </c>
      <c r="I6" s="9">
        <f>C6*E6</f>
        <v/>
      </c>
      <c r="J6" s="9">
        <f>D6+I6+F6+G6+C6*H6</f>
        <v/>
      </c>
      <c r="K6" s="9">
        <f>C6-J6</f>
        <v/>
      </c>
      <c r="L6" s="10">
        <f>K6/C6</f>
        <v/>
      </c>
      <c r="M6" s="12">
        <f>IF(K6&lt;=0,"—",ROUNDUP((Модель!$B$6+Модель!$B$24)/K6,0))</f>
        <v/>
      </c>
      <c r="N6" s="12">
        <f>ROUND(B6/Модель!$B$32,0)</f>
        <v/>
      </c>
      <c r="O6" s="10">
        <f>IF(OR(N6=0,K6&lt;=0),"—",M6/N6)</f>
        <v/>
      </c>
      <c r="P6" s="11">
        <f>IF(K6&lt;=0,"цена≤затрат",IF(M6&lt;=N6*0.3,"✅ реально",IF(M6&lt;=N6,"⚠️ напряжно","❌ стек SKU")))</f>
        <v/>
      </c>
      <c r="Q6" s="20" t="inlineStr">
        <is>
          <t>B089KJTW4V</t>
        </is>
      </c>
    </row>
    <row r="7">
      <c r="A7" s="21" t="inlineStr">
        <is>
          <t>Массажёр для шеи (шиацу)</t>
        </is>
      </c>
      <c r="B7" s="22" t="n">
        <v>2500</v>
      </c>
      <c r="C7" s="7" t="n">
        <v>146.9</v>
      </c>
      <c r="D7" s="7" t="n">
        <v>44.07</v>
      </c>
      <c r="E7" s="8" t="n">
        <v>0.15</v>
      </c>
      <c r="F7" s="7" t="n">
        <v>12</v>
      </c>
      <c r="G7" s="7" t="n">
        <v>12</v>
      </c>
      <c r="H7" s="8" t="n">
        <v>0.03</v>
      </c>
      <c r="I7" s="9">
        <f>C7*E7</f>
        <v/>
      </c>
      <c r="J7" s="9">
        <f>D7+I7+F7+G7+C7*H7</f>
        <v/>
      </c>
      <c r="K7" s="9">
        <f>C7-J7</f>
        <v/>
      </c>
      <c r="L7" s="10">
        <f>K7/C7</f>
        <v/>
      </c>
      <c r="M7" s="12">
        <f>IF(K7&lt;=0,"—",ROUNDUP((Модель!$B$6+Модель!$B$24)/K7,0))</f>
        <v/>
      </c>
      <c r="N7" s="12">
        <f>ROUND(B7/Модель!$B$32,0)</f>
        <v/>
      </c>
      <c r="O7" s="10">
        <f>IF(OR(N7=0,K7&lt;=0),"—",M7/N7)</f>
        <v/>
      </c>
      <c r="P7" s="11">
        <f>IF(K7&lt;=0,"цена≤затрат",IF(M7&lt;=N7*0.3,"✅ реально",IF(M7&lt;=N7,"⚠️ напряжно","❌ стек SKU")))</f>
        <v/>
      </c>
    </row>
    <row r="8">
      <c r="A8" s="21" t="inlineStr">
        <is>
          <t>Массажёр для ног</t>
        </is>
      </c>
      <c r="B8" s="22" t="n">
        <v>1500</v>
      </c>
      <c r="C8" s="7" t="n">
        <v>257.07</v>
      </c>
      <c r="D8" s="7" t="n">
        <v>77.12</v>
      </c>
      <c r="E8" s="8" t="n">
        <v>0.15</v>
      </c>
      <c r="F8" s="7" t="n">
        <v>12</v>
      </c>
      <c r="G8" s="7" t="n">
        <v>12</v>
      </c>
      <c r="H8" s="8" t="n">
        <v>0.03</v>
      </c>
      <c r="I8" s="9">
        <f>C8*E8</f>
        <v/>
      </c>
      <c r="J8" s="9">
        <f>D8+I8+F8+G8+C8*H8</f>
        <v/>
      </c>
      <c r="K8" s="9">
        <f>C8-J8</f>
        <v/>
      </c>
      <c r="L8" s="10">
        <f>K8/C8</f>
        <v/>
      </c>
      <c r="M8" s="12">
        <f>IF(K8&lt;=0,"—",ROUNDUP((Модель!$B$6+Модель!$B$24)/K8,0))</f>
        <v/>
      </c>
      <c r="N8" s="12">
        <f>ROUND(B8/Модель!$B$32,0)</f>
        <v/>
      </c>
      <c r="O8" s="10">
        <f>IF(OR(N8=0,K8&lt;=0),"—",M8/N8)</f>
        <v/>
      </c>
      <c r="P8" s="11">
        <f>IF(K8&lt;=0,"цена≤затрат",IF(M8&lt;=N8*0.3,"✅ реально",IF(M8&lt;=N8,"⚠️ напряжно","❌ стек SKU")))</f>
        <v/>
      </c>
    </row>
    <row r="9">
      <c r="A9" s="21" t="inlineStr">
        <is>
          <t>Массажная подушка (шиацу)</t>
        </is>
      </c>
      <c r="B9" s="22" t="n">
        <v>2000</v>
      </c>
      <c r="C9" s="7" t="n">
        <v>165.26</v>
      </c>
      <c r="D9" s="7" t="n">
        <v>49.58</v>
      </c>
      <c r="E9" s="8" t="n">
        <v>0.15</v>
      </c>
      <c r="F9" s="7" t="n">
        <v>12</v>
      </c>
      <c r="G9" s="7" t="n">
        <v>12</v>
      </c>
      <c r="H9" s="8" t="n">
        <v>0.03</v>
      </c>
      <c r="I9" s="9">
        <f>C9*E9</f>
        <v/>
      </c>
      <c r="J9" s="9">
        <f>D9+I9+F9+G9+C9*H9</f>
        <v/>
      </c>
      <c r="K9" s="9">
        <f>C9-J9</f>
        <v/>
      </c>
      <c r="L9" s="10">
        <f>K9/C9</f>
        <v/>
      </c>
      <c r="M9" s="12">
        <f>IF(K9&lt;=0,"—",ROUNDUP((Модель!$B$6+Модель!$B$24)/K9,0))</f>
        <v/>
      </c>
      <c r="N9" s="12">
        <f>ROUND(B9/Модель!$B$32,0)</f>
        <v/>
      </c>
      <c r="O9" s="10">
        <f>IF(OR(N9=0,K9&lt;=0),"—",M9/N9)</f>
        <v/>
      </c>
      <c r="P9" s="11">
        <f>IF(K9&lt;=0,"цена≤затрат",IF(M9&lt;=N9*0.3,"✅ реально",IF(M9&lt;=N9,"⚠️ напряжно","❌ стек SKU")))</f>
        <v/>
      </c>
    </row>
    <row r="10">
      <c r="A10" s="21" t="inlineStr">
        <is>
          <t>Массажный ролик (foam roller) / ролик для йоги</t>
        </is>
      </c>
      <c r="B10" s="22" t="n">
        <v>5000</v>
      </c>
      <c r="C10" s="7" t="n">
        <v>91.81</v>
      </c>
      <c r="D10" s="7" t="n">
        <v>27.54</v>
      </c>
      <c r="E10" s="8" t="n">
        <v>0.15</v>
      </c>
      <c r="F10" s="7" t="n">
        <v>12</v>
      </c>
      <c r="G10" s="7" t="n">
        <v>12</v>
      </c>
      <c r="H10" s="8" t="n">
        <v>0.03</v>
      </c>
      <c r="I10" s="9">
        <f>C10*E10</f>
        <v/>
      </c>
      <c r="J10" s="9">
        <f>D10+I10+F10+G10+C10*H10</f>
        <v/>
      </c>
      <c r="K10" s="9">
        <f>C10-J10</f>
        <v/>
      </c>
      <c r="L10" s="10">
        <f>K10/C10</f>
        <v/>
      </c>
      <c r="M10" s="12">
        <f>IF(K10&lt;=0,"—",ROUNDUP((Модель!$B$6+Модель!$B$24)/K10,0))</f>
        <v/>
      </c>
      <c r="N10" s="12">
        <f>ROUND(B10/Модель!$B$32,0)</f>
        <v/>
      </c>
      <c r="O10" s="10">
        <f>IF(OR(N10=0,K10&lt;=0),"—",M10/N10)</f>
        <v/>
      </c>
      <c r="P10" s="11">
        <f>IF(K10&lt;=0,"цена≤затрат",IF(M10&lt;=N10*0.3,"✅ реально",IF(M10&lt;=N10,"⚠️ напряжно","❌ стек SKU")))</f>
        <v/>
      </c>
    </row>
    <row r="11">
      <c r="A11" s="21" t="inlineStr">
        <is>
          <t>Массажный мяч</t>
        </is>
      </c>
      <c r="B11" s="22" t="n">
        <v>3000</v>
      </c>
      <c r="C11" s="7" t="n">
        <v>47.74</v>
      </c>
      <c r="D11" s="7" t="n">
        <v>14.32</v>
      </c>
      <c r="E11" s="8" t="n">
        <v>0.15</v>
      </c>
      <c r="F11" s="7" t="n">
        <v>12</v>
      </c>
      <c r="G11" s="7" t="n">
        <v>12</v>
      </c>
      <c r="H11" s="8" t="n">
        <v>0.03</v>
      </c>
      <c r="I11" s="9">
        <f>C11*E11</f>
        <v/>
      </c>
      <c r="J11" s="9">
        <f>D11+I11+F11+G11+C11*H11</f>
        <v/>
      </c>
      <c r="K11" s="9">
        <f>C11-J11</f>
        <v/>
      </c>
      <c r="L11" s="10">
        <f>K11/C11</f>
        <v/>
      </c>
      <c r="M11" s="12">
        <f>IF(K11&lt;=0,"—",ROUNDUP((Модель!$B$6+Модель!$B$24)/K11,0))</f>
        <v/>
      </c>
      <c r="N11" s="12">
        <f>ROUND(B11/Модель!$B$32,0)</f>
        <v/>
      </c>
      <c r="O11" s="10">
        <f>IF(OR(N11=0,K11&lt;=0),"—",M11/N11)</f>
        <v/>
      </c>
      <c r="P11" s="11">
        <f>IF(K11&lt;=0,"цена≤затрат",IF(M11&lt;=N11*0.3,"✅ реально",IF(M11&lt;=N11,"⚠️ напряжно","❌ стек SKU")))</f>
        <v/>
      </c>
    </row>
    <row r="12">
      <c r="A12" s="21" t="inlineStr">
        <is>
          <t>Массажёр для глаз (с подогревом)</t>
        </is>
      </c>
      <c r="B12" s="22" t="n">
        <v>2500</v>
      </c>
      <c r="C12" s="7" t="n">
        <v>165.26</v>
      </c>
      <c r="D12" s="7" t="n">
        <v>49.58</v>
      </c>
      <c r="E12" s="8" t="n">
        <v>0.15</v>
      </c>
      <c r="F12" s="7" t="n">
        <v>12</v>
      </c>
      <c r="G12" s="7" t="n">
        <v>12</v>
      </c>
      <c r="H12" s="8" t="n">
        <v>0.03</v>
      </c>
      <c r="I12" s="9">
        <f>C12*E12</f>
        <v/>
      </c>
      <c r="J12" s="9">
        <f>D12+I12+F12+G12+C12*H12</f>
        <v/>
      </c>
      <c r="K12" s="9">
        <f>C12-J12</f>
        <v/>
      </c>
      <c r="L12" s="10">
        <f>K12/C12</f>
        <v/>
      </c>
      <c r="M12" s="12">
        <f>IF(K12&lt;=0,"—",ROUNDUP((Модель!$B$6+Модель!$B$24)/K12,0))</f>
        <v/>
      </c>
      <c r="N12" s="12">
        <f>ROUND(B12/Модель!$B$32,0)</f>
        <v/>
      </c>
      <c r="O12" s="10">
        <f>IF(OR(N12=0,K12&lt;=0),"—",M12/N12)</f>
        <v/>
      </c>
      <c r="P12" s="11">
        <f>IF(K12&lt;=0,"цена≤затрат",IF(M12&lt;=N12*0.3,"✅ реально",IF(M12&lt;=N12,"⚠️ напряжно","❌ стек SKU")))</f>
        <v/>
      </c>
    </row>
    <row r="13">
      <c r="A13" s="21" t="inlineStr">
        <is>
          <t>Массажёр головы / скальпа</t>
        </is>
      </c>
      <c r="B13" s="22" t="n">
        <v>2000</v>
      </c>
      <c r="C13" s="7" t="n">
        <v>91.81</v>
      </c>
      <c r="D13" s="7" t="n">
        <v>27.54</v>
      </c>
      <c r="E13" s="8" t="n">
        <v>0.15</v>
      </c>
      <c r="F13" s="7" t="n">
        <v>12</v>
      </c>
      <c r="G13" s="7" t="n">
        <v>12</v>
      </c>
      <c r="H13" s="8" t="n">
        <v>0.03</v>
      </c>
      <c r="I13" s="9">
        <f>C13*E13</f>
        <v/>
      </c>
      <c r="J13" s="9">
        <f>D13+I13+F13+G13+C13*H13</f>
        <v/>
      </c>
      <c r="K13" s="9">
        <f>C13-J13</f>
        <v/>
      </c>
      <c r="L13" s="10">
        <f>K13/C13</f>
        <v/>
      </c>
      <c r="M13" s="12">
        <f>IF(K13&lt;=0,"—",ROUNDUP((Модель!$B$6+Модель!$B$24)/K13,0))</f>
        <v/>
      </c>
      <c r="N13" s="12">
        <f>ROUND(B13/Модель!$B$32,0)</f>
        <v/>
      </c>
      <c r="O13" s="10">
        <f>IF(OR(N13=0,K13&lt;=0),"—",M13/N13)</f>
        <v/>
      </c>
      <c r="P13" s="11">
        <f>IF(K13&lt;=0,"цена≤затрат",IF(M13&lt;=N13*0.3,"✅ реально",IF(M13&lt;=N13,"⚠️ напряжно","❌ стек SKU")))</f>
        <v/>
      </c>
    </row>
    <row r="14">
      <c r="A14" s="21" t="inlineStr">
        <is>
          <t>EMS-миостимулятор (мышцы/abs)</t>
        </is>
      </c>
      <c r="B14" s="22" t="n">
        <v>2000</v>
      </c>
      <c r="C14" s="7" t="n">
        <v>110.17</v>
      </c>
      <c r="D14" s="7" t="n">
        <v>33.05</v>
      </c>
      <c r="E14" s="8" t="n">
        <v>0.15</v>
      </c>
      <c r="F14" s="7" t="n">
        <v>12</v>
      </c>
      <c r="G14" s="7" t="n">
        <v>12</v>
      </c>
      <c r="H14" s="8" t="n">
        <v>0.03</v>
      </c>
      <c r="I14" s="9">
        <f>C14*E14</f>
        <v/>
      </c>
      <c r="J14" s="9">
        <f>D14+I14+F14+G14+C14*H14</f>
        <v/>
      </c>
      <c r="K14" s="9">
        <f>C14-J14</f>
        <v/>
      </c>
      <c r="L14" s="10">
        <f>K14/C14</f>
        <v/>
      </c>
      <c r="M14" s="12">
        <f>IF(K14&lt;=0,"—",ROUNDUP((Модель!$B$6+Модель!$B$24)/K14,0))</f>
        <v/>
      </c>
      <c r="N14" s="12">
        <f>ROUND(B14/Модель!$B$32,0)</f>
        <v/>
      </c>
      <c r="O14" s="10">
        <f>IF(OR(N14=0,K14&lt;=0),"—",M14/N14)</f>
        <v/>
      </c>
      <c r="P14" s="11">
        <f>IF(K14&lt;=0,"цена≤затрат",IF(M14&lt;=N14*0.3,"✅ реально",IF(M14&lt;=N14,"⚠️ напряжно","❌ стек SKU")))</f>
        <v/>
      </c>
    </row>
    <row r="15">
      <c r="A15" s="21" t="inlineStr">
        <is>
          <t>Гуаша / скребок (нефрит/сталь)</t>
        </is>
      </c>
      <c r="B15" s="22" t="n">
        <v>3000</v>
      </c>
      <c r="C15" s="7" t="n">
        <v>44.07</v>
      </c>
      <c r="D15" s="7" t="n">
        <v>13.22</v>
      </c>
      <c r="E15" s="8" t="n">
        <v>0.15</v>
      </c>
      <c r="F15" s="7" t="n">
        <v>12</v>
      </c>
      <c r="G15" s="7" t="n">
        <v>12</v>
      </c>
      <c r="H15" s="8" t="n">
        <v>0.03</v>
      </c>
      <c r="I15" s="9">
        <f>C15*E15</f>
        <v/>
      </c>
      <c r="J15" s="9">
        <f>D15+I15+F15+G15+C15*H15</f>
        <v/>
      </c>
      <c r="K15" s="9">
        <f>C15-J15</f>
        <v/>
      </c>
      <c r="L15" s="10">
        <f>K15/C15</f>
        <v/>
      </c>
      <c r="M15" s="12">
        <f>IF(K15&lt;=0,"—",ROUNDUP((Модель!$B$6+Модель!$B$24)/K15,0))</f>
        <v/>
      </c>
      <c r="N15" s="12">
        <f>ROUND(B15/Модель!$B$32,0)</f>
        <v/>
      </c>
      <c r="O15" s="10">
        <f>IF(OR(N15=0,K15&lt;=0),"—",M15/N15)</f>
        <v/>
      </c>
      <c r="P15" s="11">
        <f>IF(K15&lt;=0,"цена≤затрат",IF(M15&lt;=N15*0.3,"✅ реально",IF(M15&lt;=N15,"⚠️ напряжно","❌ стек SKU")))</f>
        <v/>
      </c>
    </row>
    <row r="16">
      <c r="A16" s="21" t="inlineStr">
        <is>
          <t>Ручной массажёр-крюк (trigger point)</t>
        </is>
      </c>
      <c r="B16" s="22" t="n">
        <v>2000</v>
      </c>
      <c r="C16" s="7" t="n">
        <v>73.45</v>
      </c>
      <c r="D16" s="7" t="n">
        <v>22.04</v>
      </c>
      <c r="E16" s="8" t="n">
        <v>0.15</v>
      </c>
      <c r="F16" s="7" t="n">
        <v>12</v>
      </c>
      <c r="G16" s="7" t="n">
        <v>12</v>
      </c>
      <c r="H16" s="8" t="n">
        <v>0.03</v>
      </c>
      <c r="I16" s="9">
        <f>C16*E16</f>
        <v/>
      </c>
      <c r="J16" s="9">
        <f>D16+I16+F16+G16+C16*H16</f>
        <v/>
      </c>
      <c r="K16" s="9">
        <f>C16-J16</f>
        <v/>
      </c>
      <c r="L16" s="10">
        <f>K16/C16</f>
        <v/>
      </c>
      <c r="M16" s="12">
        <f>IF(K16&lt;=0,"—",ROUNDUP((Модель!$B$6+Модель!$B$24)/K16,0))</f>
        <v/>
      </c>
      <c r="N16" s="12">
        <f>ROUND(B16/Модель!$B$32,0)</f>
        <v/>
      </c>
      <c r="O16" s="10">
        <f>IF(OR(N16=0,K16&lt;=0),"—",M16/N16)</f>
        <v/>
      </c>
      <c r="P16" s="11">
        <f>IF(K16&lt;=0,"цена≤затрат",IF(M16&lt;=N16*0.3,"✅ реально",IF(M16&lt;=N16,"⚠️ напряжно","❌ стек SKU")))</f>
        <v/>
      </c>
    </row>
    <row r="17">
      <c r="A17" s="18" t="inlineStr">
        <is>
          <t>▸ Ортопедия и поддержка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</row>
    <row r="18">
      <c r="A18" s="19" t="inlineStr">
        <is>
          <t>Фиксатор запястья / карпал-туннель (FREETOO)</t>
        </is>
      </c>
      <c r="B18" s="13" t="n">
        <v>3000</v>
      </c>
      <c r="C18" s="7" t="n">
        <v>73.27</v>
      </c>
      <c r="D18" s="7" t="n">
        <v>21.98</v>
      </c>
      <c r="E18" s="8" t="n">
        <v>0.15</v>
      </c>
      <c r="F18" s="7" t="n">
        <v>12</v>
      </c>
      <c r="G18" s="7" t="n">
        <v>12</v>
      </c>
      <c r="H18" s="8" t="n">
        <v>0.03</v>
      </c>
      <c r="I18" s="9">
        <f>C18*E18</f>
        <v/>
      </c>
      <c r="J18" s="9">
        <f>D18+I18+F18+G18+C18*H18</f>
        <v/>
      </c>
      <c r="K18" s="9">
        <f>C18-J18</f>
        <v/>
      </c>
      <c r="L18" s="10">
        <f>K18/C18</f>
        <v/>
      </c>
      <c r="M18" s="12">
        <f>IF(K18&lt;=0,"—",ROUNDUP((Модель!$B$6+Модель!$B$24)/K18,0))</f>
        <v/>
      </c>
      <c r="N18" s="12">
        <f>ROUND(B18/Модель!$B$32,0)</f>
        <v/>
      </c>
      <c r="O18" s="10">
        <f>IF(OR(N18=0,K18&lt;=0),"—",M18/N18)</f>
        <v/>
      </c>
      <c r="P18" s="11">
        <f>IF(K18&lt;=0,"цена≤затрат",IF(M18&lt;=N18*0.3,"✅ реально",IF(M18&lt;=N18,"⚠️ напряжно","❌ стек SKU")))</f>
        <v/>
      </c>
      <c r="Q18" s="20" t="inlineStr">
        <is>
          <t>B0DNFTL63F</t>
        </is>
      </c>
    </row>
    <row r="19">
      <c r="A19" s="21" t="inlineStr">
        <is>
          <t>Наколенник</t>
        </is>
      </c>
      <c r="B19" s="22" t="n">
        <v>5000</v>
      </c>
      <c r="C19" s="7" t="n">
        <v>73.45</v>
      </c>
      <c r="D19" s="7" t="n">
        <v>22.04</v>
      </c>
      <c r="E19" s="8" t="n">
        <v>0.15</v>
      </c>
      <c r="F19" s="7" t="n">
        <v>12</v>
      </c>
      <c r="G19" s="7" t="n">
        <v>12</v>
      </c>
      <c r="H19" s="8" t="n">
        <v>0.03</v>
      </c>
      <c r="I19" s="9">
        <f>C19*E19</f>
        <v/>
      </c>
      <c r="J19" s="9">
        <f>D19+I19+F19+G19+C19*H19</f>
        <v/>
      </c>
      <c r="K19" s="9">
        <f>C19-J19</f>
        <v/>
      </c>
      <c r="L19" s="10">
        <f>K19/C19</f>
        <v/>
      </c>
      <c r="M19" s="12">
        <f>IF(K19&lt;=0,"—",ROUNDUP((Модель!$B$6+Модель!$B$24)/K19,0))</f>
        <v/>
      </c>
      <c r="N19" s="12">
        <f>ROUND(B19/Модель!$B$32,0)</f>
        <v/>
      </c>
      <c r="O19" s="10">
        <f>IF(OR(N19=0,K19&lt;=0),"—",M19/N19)</f>
        <v/>
      </c>
      <c r="P19" s="11">
        <f>IF(K19&lt;=0,"цена≤затрат",IF(M19&lt;=N19*0.3,"✅ реально",IF(M19&lt;=N19,"⚠️ напряжно","❌ стек SKU")))</f>
        <v/>
      </c>
    </row>
    <row r="20">
      <c r="A20" s="21" t="inlineStr">
        <is>
          <t>Фиксатор голеностопа</t>
        </is>
      </c>
      <c r="B20" s="22" t="n">
        <v>3000</v>
      </c>
      <c r="C20" s="7" t="n">
        <v>66.11</v>
      </c>
      <c r="D20" s="7" t="n">
        <v>19.83</v>
      </c>
      <c r="E20" s="8" t="n">
        <v>0.15</v>
      </c>
      <c r="F20" s="7" t="n">
        <v>12</v>
      </c>
      <c r="G20" s="7" t="n">
        <v>12</v>
      </c>
      <c r="H20" s="8" t="n">
        <v>0.03</v>
      </c>
      <c r="I20" s="9">
        <f>C20*E20</f>
        <v/>
      </c>
      <c r="J20" s="9">
        <f>D20+I20+F20+G20+C20*H20</f>
        <v/>
      </c>
      <c r="K20" s="9">
        <f>C20-J20</f>
        <v/>
      </c>
      <c r="L20" s="10">
        <f>K20/C20</f>
        <v/>
      </c>
      <c r="M20" s="12">
        <f>IF(K20&lt;=0,"—",ROUNDUP((Модель!$B$6+Модель!$B$24)/K20,0))</f>
        <v/>
      </c>
      <c r="N20" s="12">
        <f>ROUND(B20/Модель!$B$32,0)</f>
        <v/>
      </c>
      <c r="O20" s="10">
        <f>IF(OR(N20=0,K20&lt;=0),"—",M20/N20)</f>
        <v/>
      </c>
      <c r="P20" s="11">
        <f>IF(K20&lt;=0,"цена≤затрат",IF(M20&lt;=N20*0.3,"✅ реально",IF(M20&lt;=N20,"⚠️ напряжно","❌ стек SKU")))</f>
        <v/>
      </c>
    </row>
    <row r="21">
      <c r="A21" s="21" t="inlineStr">
        <is>
          <t>Поясничный пояс / поддержка спины</t>
        </is>
      </c>
      <c r="B21" s="22" t="n">
        <v>3000</v>
      </c>
      <c r="C21" s="7" t="n">
        <v>110.17</v>
      </c>
      <c r="D21" s="7" t="n">
        <v>33.05</v>
      </c>
      <c r="E21" s="8" t="n">
        <v>0.15</v>
      </c>
      <c r="F21" s="7" t="n">
        <v>12</v>
      </c>
      <c r="G21" s="7" t="n">
        <v>12</v>
      </c>
      <c r="H21" s="8" t="n">
        <v>0.03</v>
      </c>
      <c r="I21" s="9">
        <f>C21*E21</f>
        <v/>
      </c>
      <c r="J21" s="9">
        <f>D21+I21+F21+G21+C21*H21</f>
        <v/>
      </c>
      <c r="K21" s="9">
        <f>C21-J21</f>
        <v/>
      </c>
      <c r="L21" s="10">
        <f>K21/C21</f>
        <v/>
      </c>
      <c r="M21" s="12">
        <f>IF(K21&lt;=0,"—",ROUNDUP((Модель!$B$6+Модель!$B$24)/K21,0))</f>
        <v/>
      </c>
      <c r="N21" s="12">
        <f>ROUND(B21/Модель!$B$32,0)</f>
        <v/>
      </c>
      <c r="O21" s="10">
        <f>IF(OR(N21=0,K21&lt;=0),"—",M21/N21)</f>
        <v/>
      </c>
      <c r="P21" s="11">
        <f>IF(K21&lt;=0,"цена≤затрат",IF(M21&lt;=N21*0.3,"✅ реально",IF(M21&lt;=N21,"⚠️ напряжно","❌ стек SKU")))</f>
        <v/>
      </c>
    </row>
    <row r="22">
      <c r="A22" s="21" t="inlineStr">
        <is>
          <t>Корректор осанки</t>
        </is>
      </c>
      <c r="B22" s="22" t="n">
        <v>5000</v>
      </c>
      <c r="C22" s="7" t="n">
        <v>102.83</v>
      </c>
      <c r="D22" s="7" t="n">
        <v>30.85</v>
      </c>
      <c r="E22" s="8" t="n">
        <v>0.15</v>
      </c>
      <c r="F22" s="7" t="n">
        <v>12</v>
      </c>
      <c r="G22" s="7" t="n">
        <v>12</v>
      </c>
      <c r="H22" s="8" t="n">
        <v>0.03</v>
      </c>
      <c r="I22" s="9">
        <f>C22*E22</f>
        <v/>
      </c>
      <c r="J22" s="9">
        <f>D22+I22+F22+G22+C22*H22</f>
        <v/>
      </c>
      <c r="K22" s="9">
        <f>C22-J22</f>
        <v/>
      </c>
      <c r="L22" s="10">
        <f>K22/C22</f>
        <v/>
      </c>
      <c r="M22" s="12">
        <f>IF(K22&lt;=0,"—",ROUNDUP((Модель!$B$6+Модель!$B$24)/K22,0))</f>
        <v/>
      </c>
      <c r="N22" s="12">
        <f>ROUND(B22/Модель!$B$32,0)</f>
        <v/>
      </c>
      <c r="O22" s="10">
        <f>IF(OR(N22=0,K22&lt;=0),"—",M22/N22)</f>
        <v/>
      </c>
      <c r="P22" s="11">
        <f>IF(K22&lt;=0,"цена≤затрат",IF(M22&lt;=N22*0.3,"✅ реально",IF(M22&lt;=N22,"⚠️ напряжно","❌ стек SKU")))</f>
        <v/>
      </c>
    </row>
    <row r="23">
      <c r="A23" s="21" t="inlineStr">
        <is>
          <t>Компрессионные носки (перелёты/стоя)</t>
        </is>
      </c>
      <c r="B23" s="22" t="n">
        <v>5000</v>
      </c>
      <c r="C23" s="7" t="n">
        <v>73.45</v>
      </c>
      <c r="D23" s="7" t="n">
        <v>22.04</v>
      </c>
      <c r="E23" s="8" t="n">
        <v>0.15</v>
      </c>
      <c r="F23" s="7" t="n">
        <v>12</v>
      </c>
      <c r="G23" s="7" t="n">
        <v>12</v>
      </c>
      <c r="H23" s="8" t="n">
        <v>0.03</v>
      </c>
      <c r="I23" s="9">
        <f>C23*E23</f>
        <v/>
      </c>
      <c r="J23" s="9">
        <f>D23+I23+F23+G23+C23*H23</f>
        <v/>
      </c>
      <c r="K23" s="9">
        <f>C23-J23</f>
        <v/>
      </c>
      <c r="L23" s="10">
        <f>K23/C23</f>
        <v/>
      </c>
      <c r="M23" s="12">
        <f>IF(K23&lt;=0,"—",ROUNDUP((Модель!$B$6+Модель!$B$24)/K23,0))</f>
        <v/>
      </c>
      <c r="N23" s="12">
        <f>ROUND(B23/Модель!$B$32,0)</f>
        <v/>
      </c>
      <c r="O23" s="10">
        <f>IF(OR(N23=0,K23&lt;=0),"—",M23/N23)</f>
        <v/>
      </c>
      <c r="P23" s="11">
        <f>IF(K23&lt;=0,"цена≤затрат",IF(M23&lt;=N23*0.3,"✅ реально",IF(M23&lt;=N23,"⚠️ напряжно","❌ стек SKU")))</f>
        <v/>
      </c>
    </row>
    <row r="24">
      <c r="A24" s="21" t="inlineStr">
        <is>
          <t>Налокотник (elbow brace)</t>
        </is>
      </c>
      <c r="B24" s="22" t="n">
        <v>3000</v>
      </c>
      <c r="C24" s="7" t="n">
        <v>66.11</v>
      </c>
      <c r="D24" s="7" t="n">
        <v>19.83</v>
      </c>
      <c r="E24" s="8" t="n">
        <v>0.15</v>
      </c>
      <c r="F24" s="7" t="n">
        <v>12</v>
      </c>
      <c r="G24" s="7" t="n">
        <v>12</v>
      </c>
      <c r="H24" s="8" t="n">
        <v>0.03</v>
      </c>
      <c r="I24" s="9">
        <f>C24*E24</f>
        <v/>
      </c>
      <c r="J24" s="9">
        <f>D24+I24+F24+G24+C24*H24</f>
        <v/>
      </c>
      <c r="K24" s="9">
        <f>C24-J24</f>
        <v/>
      </c>
      <c r="L24" s="10">
        <f>K24/C24</f>
        <v/>
      </c>
      <c r="M24" s="12">
        <f>IF(K24&lt;=0,"—",ROUNDUP((Модель!$B$6+Модель!$B$24)/K24,0))</f>
        <v/>
      </c>
      <c r="N24" s="12">
        <f>ROUND(B24/Модель!$B$32,0)</f>
        <v/>
      </c>
      <c r="O24" s="10">
        <f>IF(OR(N24=0,K24&lt;=0),"—",M24/N24)</f>
        <v/>
      </c>
      <c r="P24" s="11">
        <f>IF(K24&lt;=0,"цена≤затрат",IF(M24&lt;=N24*0.3,"✅ реально",IF(M24&lt;=N24,"⚠️ напряжно","❌ стек SKU")))</f>
        <v/>
      </c>
    </row>
    <row r="25">
      <c r="A25" s="21" t="inlineStr">
        <is>
          <t>Бандаж большого пальца (thumb splint)</t>
        </is>
      </c>
      <c r="B25" s="22" t="n">
        <v>2000</v>
      </c>
      <c r="C25" s="7" t="n">
        <v>66.11</v>
      </c>
      <c r="D25" s="7" t="n">
        <v>19.83</v>
      </c>
      <c r="E25" s="8" t="n">
        <v>0.15</v>
      </c>
      <c r="F25" s="7" t="n">
        <v>12</v>
      </c>
      <c r="G25" s="7" t="n">
        <v>12</v>
      </c>
      <c r="H25" s="8" t="n">
        <v>0.03</v>
      </c>
      <c r="I25" s="9">
        <f>C25*E25</f>
        <v/>
      </c>
      <c r="J25" s="9">
        <f>D25+I25+F25+G25+C25*H25</f>
        <v/>
      </c>
      <c r="K25" s="9">
        <f>C25-J25</f>
        <v/>
      </c>
      <c r="L25" s="10">
        <f>K25/C25</f>
        <v/>
      </c>
      <c r="M25" s="12">
        <f>IF(K25&lt;=0,"—",ROUNDUP((Модель!$B$6+Модель!$B$24)/K25,0))</f>
        <v/>
      </c>
      <c r="N25" s="12">
        <f>ROUND(B25/Модель!$B$32,0)</f>
        <v/>
      </c>
      <c r="O25" s="10">
        <f>IF(OR(N25=0,K25&lt;=0),"—",M25/N25)</f>
        <v/>
      </c>
      <c r="P25" s="11">
        <f>IF(K25&lt;=0,"цена≤затрат",IF(M25&lt;=N25*0.3,"✅ реально",IF(M25&lt;=N25,"⚠️ напряжно","❌ стек SKU")))</f>
        <v/>
      </c>
    </row>
    <row r="26">
      <c r="A26" s="21" t="inlineStr">
        <is>
          <t>Поддержка стопы / подпяточник (плантарный фасциит)</t>
        </is>
      </c>
      <c r="B26" s="22" t="n">
        <v>4000</v>
      </c>
      <c r="C26" s="7" t="n">
        <v>73.45</v>
      </c>
      <c r="D26" s="7" t="n">
        <v>22.04</v>
      </c>
      <c r="E26" s="8" t="n">
        <v>0.15</v>
      </c>
      <c r="F26" s="7" t="n">
        <v>12</v>
      </c>
      <c r="G26" s="7" t="n">
        <v>12</v>
      </c>
      <c r="H26" s="8" t="n">
        <v>0.03</v>
      </c>
      <c r="I26" s="9">
        <f>C26*E26</f>
        <v/>
      </c>
      <c r="J26" s="9">
        <f>D26+I26+F26+G26+C26*H26</f>
        <v/>
      </c>
      <c r="K26" s="9">
        <f>C26-J26</f>
        <v/>
      </c>
      <c r="L26" s="10">
        <f>K26/C26</f>
        <v/>
      </c>
      <c r="M26" s="12">
        <f>IF(K26&lt;=0,"—",ROUNDUP((Модель!$B$6+Модель!$B$24)/K26,0))</f>
        <v/>
      </c>
      <c r="N26" s="12">
        <f>ROUND(B26/Модель!$B$32,0)</f>
        <v/>
      </c>
      <c r="O26" s="10">
        <f>IF(OR(N26=0,K26&lt;=0),"—",M26/N26)</f>
        <v/>
      </c>
      <c r="P26" s="11">
        <f>IF(K26&lt;=0,"цена≤затрат",IF(M26&lt;=N26*0.3,"✅ реально",IF(M26&lt;=N26,"⚠️ напряжно","❌ стек SKU")))</f>
        <v/>
      </c>
    </row>
    <row r="27">
      <c r="A27" s="21" t="inlineStr">
        <is>
          <t>Ремень на колено (patella strap)</t>
        </is>
      </c>
      <c r="B27" s="22" t="n">
        <v>3000</v>
      </c>
      <c r="C27" s="7" t="n">
        <v>58.76</v>
      </c>
      <c r="D27" s="7" t="n">
        <v>17.63</v>
      </c>
      <c r="E27" s="8" t="n">
        <v>0.15</v>
      </c>
      <c r="F27" s="7" t="n">
        <v>12</v>
      </c>
      <c r="G27" s="7" t="n">
        <v>12</v>
      </c>
      <c r="H27" s="8" t="n">
        <v>0.03</v>
      </c>
      <c r="I27" s="9">
        <f>C27*E27</f>
        <v/>
      </c>
      <c r="J27" s="9">
        <f>D27+I27+F27+G27+C27*H27</f>
        <v/>
      </c>
      <c r="K27" s="9">
        <f>C27-J27</f>
        <v/>
      </c>
      <c r="L27" s="10">
        <f>K27/C27</f>
        <v/>
      </c>
      <c r="M27" s="12">
        <f>IF(K27&lt;=0,"—",ROUNDUP((Модель!$B$6+Модель!$B$24)/K27,0))</f>
        <v/>
      </c>
      <c r="N27" s="12">
        <f>ROUND(B27/Модель!$B$32,0)</f>
        <v/>
      </c>
      <c r="O27" s="10">
        <f>IF(OR(N27=0,K27&lt;=0),"—",M27/N27)</f>
        <v/>
      </c>
      <c r="P27" s="11">
        <f>IF(K27&lt;=0,"цена≤затрат",IF(M27&lt;=N27*0.3,"✅ реально",IF(M27&lt;=N27,"⚠️ напряжно","❌ стек SKU")))</f>
        <v/>
      </c>
    </row>
    <row r="28">
      <c r="A28" s="21" t="inlineStr">
        <is>
          <t>Компрессионные рукава на икры (calf sleeves)</t>
        </is>
      </c>
      <c r="B28" s="22" t="n">
        <v>4000</v>
      </c>
      <c r="C28" s="7" t="n">
        <v>73.45</v>
      </c>
      <c r="D28" s="7" t="n">
        <v>22.04</v>
      </c>
      <c r="E28" s="8" t="n">
        <v>0.15</v>
      </c>
      <c r="F28" s="7" t="n">
        <v>12</v>
      </c>
      <c r="G28" s="7" t="n">
        <v>12</v>
      </c>
      <c r="H28" s="8" t="n">
        <v>0.03</v>
      </c>
      <c r="I28" s="9">
        <f>C28*E28</f>
        <v/>
      </c>
      <c r="J28" s="9">
        <f>D28+I28+F28+G28+C28*H28</f>
        <v/>
      </c>
      <c r="K28" s="9">
        <f>C28-J28</f>
        <v/>
      </c>
      <c r="L28" s="10">
        <f>K28/C28</f>
        <v/>
      </c>
      <c r="M28" s="12">
        <f>IF(K28&lt;=0,"—",ROUNDUP((Модель!$B$6+Модель!$B$24)/K28,0))</f>
        <v/>
      </c>
      <c r="N28" s="12">
        <f>ROUND(B28/Модель!$B$32,0)</f>
        <v/>
      </c>
      <c r="O28" s="10">
        <f>IF(OR(N28=0,K28&lt;=0),"—",M28/N28)</f>
        <v/>
      </c>
      <c r="P28" s="11">
        <f>IF(K28&lt;=0,"цена≤затрат",IF(M28&lt;=N28*0.3,"✅ реально",IF(M28&lt;=N28,"⚠️ напряжно","❌ стек SKU")))</f>
        <v/>
      </c>
    </row>
    <row r="29">
      <c r="A29" s="21" t="inlineStr">
        <is>
          <t>Кинезио-тейп</t>
        </is>
      </c>
      <c r="B29" s="22" t="n">
        <v>4000</v>
      </c>
      <c r="C29" s="7" t="n">
        <v>44.07</v>
      </c>
      <c r="D29" s="7" t="n">
        <v>13.22</v>
      </c>
      <c r="E29" s="8" t="n">
        <v>0.15</v>
      </c>
      <c r="F29" s="7" t="n">
        <v>12</v>
      </c>
      <c r="G29" s="7" t="n">
        <v>12</v>
      </c>
      <c r="H29" s="8" t="n">
        <v>0.03</v>
      </c>
      <c r="I29" s="9">
        <f>C29*E29</f>
        <v/>
      </c>
      <c r="J29" s="9">
        <f>D29+I29+F29+G29+C29*H29</f>
        <v/>
      </c>
      <c r="K29" s="9">
        <f>C29-J29</f>
        <v/>
      </c>
      <c r="L29" s="10">
        <f>K29/C29</f>
        <v/>
      </c>
      <c r="M29" s="12">
        <f>IF(K29&lt;=0,"—",ROUNDUP((Модель!$B$6+Модель!$B$24)/K29,0))</f>
        <v/>
      </c>
      <c r="N29" s="12">
        <f>ROUND(B29/Модель!$B$32,0)</f>
        <v/>
      </c>
      <c r="O29" s="10">
        <f>IF(OR(N29=0,K29&lt;=0),"—",M29/N29)</f>
        <v/>
      </c>
      <c r="P29" s="11">
        <f>IF(K29&lt;=0,"цена≤затрат",IF(M29&lt;=N29*0.3,"✅ реально",IF(M29&lt;=N29,"⚠️ напряжно","❌ стек SKU")))</f>
        <v/>
      </c>
    </row>
    <row r="30">
      <c r="A30" s="18" t="inlineStr">
        <is>
          <t>▸ Сон и комфорт</t>
        </is>
      </c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</row>
    <row r="31">
      <c r="A31" s="21" t="inlineStr">
        <is>
          <t>Маска для сна</t>
        </is>
      </c>
      <c r="B31" s="22" t="n">
        <v>8000</v>
      </c>
      <c r="C31" s="7" t="n">
        <v>55.09</v>
      </c>
      <c r="D31" s="7" t="n">
        <v>16.53</v>
      </c>
      <c r="E31" s="8" t="n">
        <v>0.15</v>
      </c>
      <c r="F31" s="7" t="n">
        <v>12</v>
      </c>
      <c r="G31" s="7" t="n">
        <v>12</v>
      </c>
      <c r="H31" s="8" t="n">
        <v>0.03</v>
      </c>
      <c r="I31" s="9">
        <f>C31*E31</f>
        <v/>
      </c>
      <c r="J31" s="9">
        <f>D31+I31+F31+G31+C31*H31</f>
        <v/>
      </c>
      <c r="K31" s="9">
        <f>C31-J31</f>
        <v/>
      </c>
      <c r="L31" s="10">
        <f>K31/C31</f>
        <v/>
      </c>
      <c r="M31" s="12">
        <f>IF(K31&lt;=0,"—",ROUNDUP((Модель!$B$6+Модель!$B$24)/K31,0))</f>
        <v/>
      </c>
      <c r="N31" s="12">
        <f>ROUND(B31/Модель!$B$32,0)</f>
        <v/>
      </c>
      <c r="O31" s="10">
        <f>IF(OR(N31=0,K31&lt;=0),"—",M31/N31)</f>
        <v/>
      </c>
      <c r="P31" s="11">
        <f>IF(K31&lt;=0,"цена≤затрат",IF(M31&lt;=N31*0.3,"✅ реально",IF(M31&lt;=N31,"⚠️ напряжно","❌ стек SKU")))</f>
        <v/>
      </c>
    </row>
    <row r="32">
      <c r="A32" s="21" t="inlineStr">
        <is>
          <t>Подушка между ног</t>
        </is>
      </c>
      <c r="B32" s="22" t="n">
        <v>5000</v>
      </c>
      <c r="C32" s="7" t="n">
        <v>110.17</v>
      </c>
      <c r="D32" s="7" t="n">
        <v>33.05</v>
      </c>
      <c r="E32" s="8" t="n">
        <v>0.15</v>
      </c>
      <c r="F32" s="7" t="n">
        <v>12</v>
      </c>
      <c r="G32" s="7" t="n">
        <v>12</v>
      </c>
      <c r="H32" s="8" t="n">
        <v>0.03</v>
      </c>
      <c r="I32" s="9">
        <f>C32*E32</f>
        <v/>
      </c>
      <c r="J32" s="9">
        <f>D32+I32+F32+G32+C32*H32</f>
        <v/>
      </c>
      <c r="K32" s="9">
        <f>C32-J32</f>
        <v/>
      </c>
      <c r="L32" s="10">
        <f>K32/C32</f>
        <v/>
      </c>
      <c r="M32" s="12">
        <f>IF(K32&lt;=0,"—",ROUNDUP((Модель!$B$6+Модель!$B$24)/K32,0))</f>
        <v/>
      </c>
      <c r="N32" s="12">
        <f>ROUND(B32/Модель!$B$32,0)</f>
        <v/>
      </c>
      <c r="O32" s="10">
        <f>IF(OR(N32=0,K32&lt;=0),"—",M32/N32)</f>
        <v/>
      </c>
      <c r="P32" s="11">
        <f>IF(K32&lt;=0,"цена≤затрат",IF(M32&lt;=N32*0.3,"✅ реально",IF(M32&lt;=N32,"⚠️ напряжно","❌ стек SKU")))</f>
        <v/>
      </c>
    </row>
    <row r="33">
      <c r="A33" s="21" t="inlineStr">
        <is>
          <t>Клиновидная подушка (wedge)</t>
        </is>
      </c>
      <c r="B33" s="22" t="n">
        <v>4000</v>
      </c>
      <c r="C33" s="7" t="n">
        <v>146.9</v>
      </c>
      <c r="D33" s="7" t="n">
        <v>44.07</v>
      </c>
      <c r="E33" s="8" t="n">
        <v>0.15</v>
      </c>
      <c r="F33" s="7" t="n">
        <v>12</v>
      </c>
      <c r="G33" s="7" t="n">
        <v>12</v>
      </c>
      <c r="H33" s="8" t="n">
        <v>0.03</v>
      </c>
      <c r="I33" s="9">
        <f>C33*E33</f>
        <v/>
      </c>
      <c r="J33" s="9">
        <f>D33+I33+F33+G33+C33*H33</f>
        <v/>
      </c>
      <c r="K33" s="9">
        <f>C33-J33</f>
        <v/>
      </c>
      <c r="L33" s="10">
        <f>K33/C33</f>
        <v/>
      </c>
      <c r="M33" s="12">
        <f>IF(K33&lt;=0,"—",ROUNDUP((Модель!$B$6+Модель!$B$24)/K33,0))</f>
        <v/>
      </c>
      <c r="N33" s="12">
        <f>ROUND(B33/Модель!$B$32,0)</f>
        <v/>
      </c>
      <c r="O33" s="10">
        <f>IF(OR(N33=0,K33&lt;=0),"—",M33/N33)</f>
        <v/>
      </c>
      <c r="P33" s="11">
        <f>IF(K33&lt;=0,"цена≤затрат",IF(M33&lt;=N33*0.3,"✅ реально",IF(M33&lt;=N33,"⚠️ напряжно","❌ стек SKU")))</f>
        <v/>
      </c>
    </row>
    <row r="34">
      <c r="A34" s="21" t="inlineStr">
        <is>
          <t>Утяжелённое одеяло</t>
        </is>
      </c>
      <c r="B34" s="22" t="n">
        <v>5000</v>
      </c>
      <c r="C34" s="7" t="n">
        <v>183.62</v>
      </c>
      <c r="D34" s="7" t="n">
        <v>55.09</v>
      </c>
      <c r="E34" s="8" t="n">
        <v>0.15</v>
      </c>
      <c r="F34" s="7" t="n">
        <v>12</v>
      </c>
      <c r="G34" s="7" t="n">
        <v>12</v>
      </c>
      <c r="H34" s="8" t="n">
        <v>0.03</v>
      </c>
      <c r="I34" s="9">
        <f>C34*E34</f>
        <v/>
      </c>
      <c r="J34" s="9">
        <f>D34+I34+F34+G34+C34*H34</f>
        <v/>
      </c>
      <c r="K34" s="9">
        <f>C34-J34</f>
        <v/>
      </c>
      <c r="L34" s="10">
        <f>K34/C34</f>
        <v/>
      </c>
      <c r="M34" s="12">
        <f>IF(K34&lt;=0,"—",ROUNDUP((Модель!$B$6+Модель!$B$24)/K34,0))</f>
        <v/>
      </c>
      <c r="N34" s="12">
        <f>ROUND(B34/Модель!$B$32,0)</f>
        <v/>
      </c>
      <c r="O34" s="10">
        <f>IF(OR(N34=0,K34&lt;=0),"—",M34/N34)</f>
        <v/>
      </c>
      <c r="P34" s="11">
        <f>IF(K34&lt;=0,"цена≤затрат",IF(M34&lt;=N34*0.3,"✅ реально",IF(M34&lt;=N34,"⚠️ напряжно","❌ стек SKU")))</f>
        <v/>
      </c>
    </row>
    <row r="35">
      <c r="A35" s="21" t="inlineStr">
        <is>
          <t>Устройство белого шума</t>
        </is>
      </c>
      <c r="B35" s="22" t="n">
        <v>4000</v>
      </c>
      <c r="C35" s="7" t="n">
        <v>165.26</v>
      </c>
      <c r="D35" s="7" t="n">
        <v>49.58</v>
      </c>
      <c r="E35" s="8" t="n">
        <v>0.15</v>
      </c>
      <c r="F35" s="7" t="n">
        <v>12</v>
      </c>
      <c r="G35" s="7" t="n">
        <v>12</v>
      </c>
      <c r="H35" s="8" t="n">
        <v>0.03</v>
      </c>
      <c r="I35" s="9">
        <f>C35*E35</f>
        <v/>
      </c>
      <c r="J35" s="9">
        <f>D35+I35+F35+G35+C35*H35</f>
        <v/>
      </c>
      <c r="K35" s="9">
        <f>C35-J35</f>
        <v/>
      </c>
      <c r="L35" s="10">
        <f>K35/C35</f>
        <v/>
      </c>
      <c r="M35" s="12">
        <f>IF(K35&lt;=0,"—",ROUNDUP((Модель!$B$6+Модель!$B$24)/K35,0))</f>
        <v/>
      </c>
      <c r="N35" s="12">
        <f>ROUND(B35/Модель!$B$32,0)</f>
        <v/>
      </c>
      <c r="O35" s="10">
        <f>IF(OR(N35=0,K35&lt;=0),"—",M35/N35)</f>
        <v/>
      </c>
      <c r="P35" s="11">
        <f>IF(K35&lt;=0,"цена≤затрат",IF(M35&lt;=N35*0.3,"✅ реально",IF(M35&lt;=N35,"⚠️ напряжно","❌ стек SKU")))</f>
        <v/>
      </c>
    </row>
    <row r="36">
      <c r="A36" s="21" t="inlineStr">
        <is>
          <t>Поясничная подушка для авто/офиса</t>
        </is>
      </c>
      <c r="B36" s="22" t="n">
        <v>4000</v>
      </c>
      <c r="C36" s="7" t="n">
        <v>110.17</v>
      </c>
      <c r="D36" s="7" t="n">
        <v>33.05</v>
      </c>
      <c r="E36" s="8" t="n">
        <v>0.15</v>
      </c>
      <c r="F36" s="7" t="n">
        <v>12</v>
      </c>
      <c r="G36" s="7" t="n">
        <v>12</v>
      </c>
      <c r="H36" s="8" t="n">
        <v>0.03</v>
      </c>
      <c r="I36" s="9">
        <f>C36*E36</f>
        <v/>
      </c>
      <c r="J36" s="9">
        <f>D36+I36+F36+G36+C36*H36</f>
        <v/>
      </c>
      <c r="K36" s="9">
        <f>C36-J36</f>
        <v/>
      </c>
      <c r="L36" s="10">
        <f>K36/C36</f>
        <v/>
      </c>
      <c r="M36" s="12">
        <f>IF(K36&lt;=0,"—",ROUNDUP((Модель!$B$6+Модель!$B$24)/K36,0))</f>
        <v/>
      </c>
      <c r="N36" s="12">
        <f>ROUND(B36/Модель!$B$32,0)</f>
        <v/>
      </c>
      <c r="O36" s="10">
        <f>IF(OR(N36=0,K36&lt;=0),"—",M36/N36)</f>
        <v/>
      </c>
      <c r="P36" s="11">
        <f>IF(K36&lt;=0,"цена≤затрат",IF(M36&lt;=N36*0.3,"✅ реально",IF(M36&lt;=N36,"⚠️ напряжно","❌ стек SKU")))</f>
        <v/>
      </c>
    </row>
    <row r="37">
      <c r="A37" s="21" t="inlineStr">
        <is>
          <t>Беруши (многоразовые, силикон)</t>
        </is>
      </c>
      <c r="B37" s="22" t="n">
        <v>5000</v>
      </c>
      <c r="C37" s="7" t="n">
        <v>44.07</v>
      </c>
      <c r="D37" s="7" t="n">
        <v>13.22</v>
      </c>
      <c r="E37" s="8" t="n">
        <v>0.15</v>
      </c>
      <c r="F37" s="7" t="n">
        <v>12</v>
      </c>
      <c r="G37" s="7" t="n">
        <v>12</v>
      </c>
      <c r="H37" s="8" t="n">
        <v>0.03</v>
      </c>
      <c r="I37" s="9">
        <f>C37*E37</f>
        <v/>
      </c>
      <c r="J37" s="9">
        <f>D37+I37+F37+G37+C37*H37</f>
        <v/>
      </c>
      <c r="K37" s="9">
        <f>C37-J37</f>
        <v/>
      </c>
      <c r="L37" s="10">
        <f>K37/C37</f>
        <v/>
      </c>
      <c r="M37" s="12">
        <f>IF(K37&lt;=0,"—",ROUNDUP((Модель!$B$6+Модель!$B$24)/K37,0))</f>
        <v/>
      </c>
      <c r="N37" s="12">
        <f>ROUND(B37/Модель!$B$32,0)</f>
        <v/>
      </c>
      <c r="O37" s="10">
        <f>IF(OR(N37=0,K37&lt;=0),"—",M37/N37)</f>
        <v/>
      </c>
      <c r="P37" s="11">
        <f>IF(K37&lt;=0,"цена≤затрат",IF(M37&lt;=N37*0.3,"✅ реально",IF(M37&lt;=N37,"⚠️ напряжно","❌ стек SKU")))</f>
        <v/>
      </c>
    </row>
    <row r="38">
      <c r="A38" s="21" t="inlineStr">
        <is>
          <t>Дорожная шейная подушка (travel neck)</t>
        </is>
      </c>
      <c r="B38" s="22" t="n">
        <v>5000</v>
      </c>
      <c r="C38" s="7" t="n">
        <v>91.81</v>
      </c>
      <c r="D38" s="7" t="n">
        <v>27.54</v>
      </c>
      <c r="E38" s="8" t="n">
        <v>0.15</v>
      </c>
      <c r="F38" s="7" t="n">
        <v>12</v>
      </c>
      <c r="G38" s="7" t="n">
        <v>12</v>
      </c>
      <c r="H38" s="8" t="n">
        <v>0.03</v>
      </c>
      <c r="I38" s="9">
        <f>C38*E38</f>
        <v/>
      </c>
      <c r="J38" s="9">
        <f>D38+I38+F38+G38+C38*H38</f>
        <v/>
      </c>
      <c r="K38" s="9">
        <f>C38-J38</f>
        <v/>
      </c>
      <c r="L38" s="10">
        <f>K38/C38</f>
        <v/>
      </c>
      <c r="M38" s="12">
        <f>IF(K38&lt;=0,"—",ROUNDUP((Модель!$B$6+Модель!$B$24)/K38,0))</f>
        <v/>
      </c>
      <c r="N38" s="12">
        <f>ROUND(B38/Модель!$B$32,0)</f>
        <v/>
      </c>
      <c r="O38" s="10">
        <f>IF(OR(N38=0,K38&lt;=0),"—",M38/N38)</f>
        <v/>
      </c>
      <c r="P38" s="11">
        <f>IF(K38&lt;=0,"цена≤затрат",IF(M38&lt;=N38*0.3,"✅ реально",IF(M38&lt;=N38,"⚠️ напряжно","❌ стек SKU")))</f>
        <v/>
      </c>
    </row>
    <row r="39">
      <c r="A39" s="21" t="inlineStr">
        <is>
          <t>Контурная ортопед. подушка (memory foam)</t>
        </is>
      </c>
      <c r="B39" s="22" t="n">
        <v>5000</v>
      </c>
      <c r="C39" s="7" t="n">
        <v>146.9</v>
      </c>
      <c r="D39" s="7" t="n">
        <v>44.07</v>
      </c>
      <c r="E39" s="8" t="n">
        <v>0.15</v>
      </c>
      <c r="F39" s="7" t="n">
        <v>12</v>
      </c>
      <c r="G39" s="7" t="n">
        <v>12</v>
      </c>
      <c r="H39" s="8" t="n">
        <v>0.03</v>
      </c>
      <c r="I39" s="9">
        <f>C39*E39</f>
        <v/>
      </c>
      <c r="J39" s="9">
        <f>D39+I39+F39+G39+C39*H39</f>
        <v/>
      </c>
      <c r="K39" s="9">
        <f>C39-J39</f>
        <v/>
      </c>
      <c r="L39" s="10">
        <f>K39/C39</f>
        <v/>
      </c>
      <c r="M39" s="12">
        <f>IF(K39&lt;=0,"—",ROUNDUP((Модель!$B$6+Модель!$B$24)/K39,0))</f>
        <v/>
      </c>
      <c r="N39" s="12">
        <f>ROUND(B39/Модель!$B$32,0)</f>
        <v/>
      </c>
      <c r="O39" s="10">
        <f>IF(OR(N39=0,K39&lt;=0),"—",M39/N39)</f>
        <v/>
      </c>
      <c r="P39" s="11">
        <f>IF(K39&lt;=0,"цена≤затрат",IF(M39&lt;=N39*0.3,"✅ реально",IF(M39&lt;=N39,"⚠️ напряжно","❌ стек SKU")))</f>
        <v/>
      </c>
    </row>
    <row r="40">
      <c r="A40" s="21" t="inlineStr">
        <is>
          <t>Паровая маска для глаз с подогревом</t>
        </is>
      </c>
      <c r="B40" s="22" t="n">
        <v>3000</v>
      </c>
      <c r="C40" s="7" t="n">
        <v>73.45</v>
      </c>
      <c r="D40" s="7" t="n">
        <v>22.04</v>
      </c>
      <c r="E40" s="8" t="n">
        <v>0.15</v>
      </c>
      <c r="F40" s="7" t="n">
        <v>12</v>
      </c>
      <c r="G40" s="7" t="n">
        <v>12</v>
      </c>
      <c r="H40" s="8" t="n">
        <v>0.03</v>
      </c>
      <c r="I40" s="9">
        <f>C40*E40</f>
        <v/>
      </c>
      <c r="J40" s="9">
        <f>D40+I40+F40+G40+C40*H40</f>
        <v/>
      </c>
      <c r="K40" s="9">
        <f>C40-J40</f>
        <v/>
      </c>
      <c r="L40" s="10">
        <f>K40/C40</f>
        <v/>
      </c>
      <c r="M40" s="12">
        <f>IF(K40&lt;=0,"—",ROUNDUP((Модель!$B$6+Модель!$B$24)/K40,0))</f>
        <v/>
      </c>
      <c r="N40" s="12">
        <f>ROUND(B40/Модель!$B$32,0)</f>
        <v/>
      </c>
      <c r="O40" s="10">
        <f>IF(OR(N40=0,K40&lt;=0),"—",M40/N40)</f>
        <v/>
      </c>
      <c r="P40" s="11">
        <f>IF(K40&lt;=0,"цена≤затрат",IF(M40&lt;=N40*0.3,"✅ реально",IF(M40&lt;=N40,"⚠️ напряжно","❌ стек SKU")))</f>
        <v/>
      </c>
    </row>
    <row r="41">
      <c r="A41" s="21" t="inlineStr">
        <is>
          <t>Световой будильник-рассвет (sunrise)</t>
        </is>
      </c>
      <c r="B41" s="22" t="n">
        <v>2000</v>
      </c>
      <c r="C41" s="7" t="n">
        <v>146.9</v>
      </c>
      <c r="D41" s="7" t="n">
        <v>44.07</v>
      </c>
      <c r="E41" s="8" t="n">
        <v>0.15</v>
      </c>
      <c r="F41" s="7" t="n">
        <v>12</v>
      </c>
      <c r="G41" s="7" t="n">
        <v>12</v>
      </c>
      <c r="H41" s="8" t="n">
        <v>0.03</v>
      </c>
      <c r="I41" s="9">
        <f>C41*E41</f>
        <v/>
      </c>
      <c r="J41" s="9">
        <f>D41+I41+F41+G41+C41*H41</f>
        <v/>
      </c>
      <c r="K41" s="9">
        <f>C41-J41</f>
        <v/>
      </c>
      <c r="L41" s="10">
        <f>K41/C41</f>
        <v/>
      </c>
      <c r="M41" s="12">
        <f>IF(K41&lt;=0,"—",ROUNDUP((Модель!$B$6+Модель!$B$24)/K41,0))</f>
        <v/>
      </c>
      <c r="N41" s="12">
        <f>ROUND(B41/Модель!$B$32,0)</f>
        <v/>
      </c>
      <c r="O41" s="10">
        <f>IF(OR(N41=0,K41&lt;=0),"—",M41/N41)</f>
        <v/>
      </c>
      <c r="P41" s="11">
        <f>IF(K41&lt;=0,"цена≤затрат",IF(M41&lt;=N41*0.3,"✅ реально",IF(M41&lt;=N41,"⚠️ напряжно","❌ стек SKU")))</f>
        <v/>
      </c>
    </row>
    <row r="42">
      <c r="A42" s="18" t="inlineStr">
        <is>
          <t>▸ Охлаждение (ОАЭ-приоритет)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</row>
    <row r="43">
      <c r="A43" s="21" t="inlineStr">
        <is>
          <t>Охлаждающее полотенце</t>
        </is>
      </c>
      <c r="B43" s="22" t="n">
        <v>5000</v>
      </c>
      <c r="C43" s="7" t="n">
        <v>55.09</v>
      </c>
      <c r="D43" s="7" t="n">
        <v>16.53</v>
      </c>
      <c r="E43" s="8" t="n">
        <v>0.15</v>
      </c>
      <c r="F43" s="7" t="n">
        <v>12</v>
      </c>
      <c r="G43" s="7" t="n">
        <v>12</v>
      </c>
      <c r="H43" s="8" t="n">
        <v>0.03</v>
      </c>
      <c r="I43" s="9">
        <f>C43*E43</f>
        <v/>
      </c>
      <c r="J43" s="9">
        <f>D43+I43+F43+G43+C43*H43</f>
        <v/>
      </c>
      <c r="K43" s="9">
        <f>C43-J43</f>
        <v/>
      </c>
      <c r="L43" s="10">
        <f>K43/C43</f>
        <v/>
      </c>
      <c r="M43" s="12">
        <f>IF(K43&lt;=0,"—",ROUNDUP((Модель!$B$6+Модель!$B$24)/K43,0))</f>
        <v/>
      </c>
      <c r="N43" s="12">
        <f>ROUND(B43/Модель!$B$32,0)</f>
        <v/>
      </c>
      <c r="O43" s="10">
        <f>IF(OR(N43=0,K43&lt;=0),"—",M43/N43)</f>
        <v/>
      </c>
      <c r="P43" s="11">
        <f>IF(K43&lt;=0,"цена≤затрат",IF(M43&lt;=N43*0.3,"✅ реально",IF(M43&lt;=N43,"⚠️ напряжно","❌ стек SKU")))</f>
        <v/>
      </c>
    </row>
    <row r="44">
      <c r="A44" s="21" t="inlineStr">
        <is>
          <t>Гелевая охлажд. маска для глаз</t>
        </is>
      </c>
      <c r="B44" s="22" t="n">
        <v>5000</v>
      </c>
      <c r="C44" s="7" t="n">
        <v>55.09</v>
      </c>
      <c r="D44" s="7" t="n">
        <v>16.53</v>
      </c>
      <c r="E44" s="8" t="n">
        <v>0.15</v>
      </c>
      <c r="F44" s="7" t="n">
        <v>12</v>
      </c>
      <c r="G44" s="7" t="n">
        <v>12</v>
      </c>
      <c r="H44" s="8" t="n">
        <v>0.03</v>
      </c>
      <c r="I44" s="9">
        <f>C44*E44</f>
        <v/>
      </c>
      <c r="J44" s="9">
        <f>D44+I44+F44+G44+C44*H44</f>
        <v/>
      </c>
      <c r="K44" s="9">
        <f>C44-J44</f>
        <v/>
      </c>
      <c r="L44" s="10">
        <f>K44/C44</f>
        <v/>
      </c>
      <c r="M44" s="12">
        <f>IF(K44&lt;=0,"—",ROUNDUP((Модель!$B$6+Модель!$B$24)/K44,0))</f>
        <v/>
      </c>
      <c r="N44" s="12">
        <f>ROUND(B44/Модель!$B$32,0)</f>
        <v/>
      </c>
      <c r="O44" s="10">
        <f>IF(OR(N44=0,K44&lt;=0),"—",M44/N44)</f>
        <v/>
      </c>
      <c r="P44" s="11">
        <f>IF(K44&lt;=0,"цена≤затрат",IF(M44&lt;=N44*0.3,"✅ реально",IF(M44&lt;=N44,"⚠️ напряжно","❌ стек SKU")))</f>
        <v/>
      </c>
    </row>
    <row r="45">
      <c r="A45" s="21" t="inlineStr">
        <is>
          <t>Многоразовый холодный гелевый компресс</t>
        </is>
      </c>
      <c r="B45" s="22" t="n">
        <v>5000</v>
      </c>
      <c r="C45" s="7" t="n">
        <v>66.11</v>
      </c>
      <c r="D45" s="7" t="n">
        <v>19.83</v>
      </c>
      <c r="E45" s="8" t="n">
        <v>0.15</v>
      </c>
      <c r="F45" s="7" t="n">
        <v>12</v>
      </c>
      <c r="G45" s="7" t="n">
        <v>12</v>
      </c>
      <c r="H45" s="8" t="n">
        <v>0.03</v>
      </c>
      <c r="I45" s="9">
        <f>C45*E45</f>
        <v/>
      </c>
      <c r="J45" s="9">
        <f>D45+I45+F45+G45+C45*H45</f>
        <v/>
      </c>
      <c r="K45" s="9">
        <f>C45-J45</f>
        <v/>
      </c>
      <c r="L45" s="10">
        <f>K45/C45</f>
        <v/>
      </c>
      <c r="M45" s="12">
        <f>IF(K45&lt;=0,"—",ROUNDUP((Модель!$B$6+Модель!$B$24)/K45,0))</f>
        <v/>
      </c>
      <c r="N45" s="12">
        <f>ROUND(B45/Модель!$B$32,0)</f>
        <v/>
      </c>
      <c r="O45" s="10">
        <f>IF(OR(N45=0,K45&lt;=0),"—",M45/N45)</f>
        <v/>
      </c>
      <c r="P45" s="11">
        <f>IF(K45&lt;=0,"цена≤затрат",IF(M45&lt;=N45*0.3,"✅ реально",IF(M45&lt;=N45,"⚠️ напряжно","❌ стек SKU")))</f>
        <v/>
      </c>
    </row>
    <row r="46">
      <c r="A46" s="21" t="inlineStr">
        <is>
          <t>Охлаждающая подушка / наволочка</t>
        </is>
      </c>
      <c r="B46" s="22" t="n">
        <v>4000</v>
      </c>
      <c r="C46" s="7" t="n">
        <v>146.9</v>
      </c>
      <c r="D46" s="7" t="n">
        <v>44.07</v>
      </c>
      <c r="E46" s="8" t="n">
        <v>0.15</v>
      </c>
      <c r="F46" s="7" t="n">
        <v>12</v>
      </c>
      <c r="G46" s="7" t="n">
        <v>12</v>
      </c>
      <c r="H46" s="8" t="n">
        <v>0.03</v>
      </c>
      <c r="I46" s="9">
        <f>C46*E46</f>
        <v/>
      </c>
      <c r="J46" s="9">
        <f>D46+I46+F46+G46+C46*H46</f>
        <v/>
      </c>
      <c r="K46" s="9">
        <f>C46-J46</f>
        <v/>
      </c>
      <c r="L46" s="10">
        <f>K46/C46</f>
        <v/>
      </c>
      <c r="M46" s="12">
        <f>IF(K46&lt;=0,"—",ROUNDUP((Модель!$B$6+Модель!$B$24)/K46,0))</f>
        <v/>
      </c>
      <c r="N46" s="12">
        <f>ROUND(B46/Модель!$B$32,0)</f>
        <v/>
      </c>
      <c r="O46" s="10">
        <f>IF(OR(N46=0,K46&lt;=0),"—",M46/N46)</f>
        <v/>
      </c>
      <c r="P46" s="11">
        <f>IF(K46&lt;=0,"цена≤затрат",IF(M46&lt;=N46*0.3,"✅ реально",IF(M46&lt;=N46,"⚠️ напряжно","❌ стек SKU")))</f>
        <v/>
      </c>
    </row>
    <row r="47">
      <c r="A47" s="21" t="inlineStr">
        <is>
          <t>Ортоп. подушка с охлажд. чехлом</t>
        </is>
      </c>
      <c r="B47" s="22" t="n">
        <v>3000</v>
      </c>
      <c r="C47" s="7" t="n">
        <v>165.26</v>
      </c>
      <c r="D47" s="7" t="n">
        <v>49.58</v>
      </c>
      <c r="E47" s="8" t="n">
        <v>0.15</v>
      </c>
      <c r="F47" s="7" t="n">
        <v>12</v>
      </c>
      <c r="G47" s="7" t="n">
        <v>12</v>
      </c>
      <c r="H47" s="8" t="n">
        <v>0.03</v>
      </c>
      <c r="I47" s="9">
        <f>C47*E47</f>
        <v/>
      </c>
      <c r="J47" s="9">
        <f>D47+I47+F47+G47+C47*H47</f>
        <v/>
      </c>
      <c r="K47" s="9">
        <f>C47-J47</f>
        <v/>
      </c>
      <c r="L47" s="10">
        <f>K47/C47</f>
        <v/>
      </c>
      <c r="M47" s="12">
        <f>IF(K47&lt;=0,"—",ROUNDUP((Модель!$B$6+Модель!$B$24)/K47,0))</f>
        <v/>
      </c>
      <c r="N47" s="12">
        <f>ROUND(B47/Модель!$B$32,0)</f>
        <v/>
      </c>
      <c r="O47" s="10">
        <f>IF(OR(N47=0,K47&lt;=0),"—",M47/N47)</f>
        <v/>
      </c>
      <c r="P47" s="11">
        <f>IF(K47&lt;=0,"цена≤затрат",IF(M47&lt;=N47*0.3,"✅ реально",IF(M47&lt;=N47,"⚠️ напряжно","❌ стек SKU")))</f>
        <v/>
      </c>
    </row>
    <row r="48">
      <c r="A48" s="21" t="inlineStr">
        <is>
          <t>USB-вентилятор</t>
        </is>
      </c>
      <c r="B48" s="22" t="n">
        <v>8000</v>
      </c>
      <c r="C48" s="7" t="n">
        <v>73.45</v>
      </c>
      <c r="D48" s="7" t="n">
        <v>22.04</v>
      </c>
      <c r="E48" s="8" t="n">
        <v>0.15</v>
      </c>
      <c r="F48" s="7" t="n">
        <v>12</v>
      </c>
      <c r="G48" s="7" t="n">
        <v>12</v>
      </c>
      <c r="H48" s="8" t="n">
        <v>0.03</v>
      </c>
      <c r="I48" s="9">
        <f>C48*E48</f>
        <v/>
      </c>
      <c r="J48" s="9">
        <f>D48+I48+F48+G48+C48*H48</f>
        <v/>
      </c>
      <c r="K48" s="9">
        <f>C48-J48</f>
        <v/>
      </c>
      <c r="L48" s="10">
        <f>K48/C48</f>
        <v/>
      </c>
      <c r="M48" s="12">
        <f>IF(K48&lt;=0,"—",ROUNDUP((Модель!$B$6+Модель!$B$24)/K48,0))</f>
        <v/>
      </c>
      <c r="N48" s="12">
        <f>ROUND(B48/Модель!$B$32,0)</f>
        <v/>
      </c>
      <c r="O48" s="10">
        <f>IF(OR(N48=0,K48&lt;=0),"—",M48/N48)</f>
        <v/>
      </c>
      <c r="P48" s="11">
        <f>IF(K48&lt;=0,"цена≤затрат",IF(M48&lt;=N48*0.3,"✅ реально",IF(M48&lt;=N48,"⚠️ напряжно","❌ стек SKU")))</f>
        <v/>
      </c>
    </row>
    <row r="49">
      <c r="A49" s="21" t="inlineStr">
        <is>
          <t>Складной аккумуляторный вентилятор</t>
        </is>
      </c>
      <c r="B49" s="22" t="n">
        <v>5000</v>
      </c>
      <c r="C49" s="7" t="n">
        <v>110.17</v>
      </c>
      <c r="D49" s="7" t="n">
        <v>33.05</v>
      </c>
      <c r="E49" s="8" t="n">
        <v>0.15</v>
      </c>
      <c r="F49" s="7" t="n">
        <v>12</v>
      </c>
      <c r="G49" s="7" t="n">
        <v>12</v>
      </c>
      <c r="H49" s="8" t="n">
        <v>0.03</v>
      </c>
      <c r="I49" s="9">
        <f>C49*E49</f>
        <v/>
      </c>
      <c r="J49" s="9">
        <f>D49+I49+F49+G49+C49*H49</f>
        <v/>
      </c>
      <c r="K49" s="9">
        <f>C49-J49</f>
        <v/>
      </c>
      <c r="L49" s="10">
        <f>K49/C49</f>
        <v/>
      </c>
      <c r="M49" s="12">
        <f>IF(K49&lt;=0,"—",ROUNDUP((Модель!$B$6+Модель!$B$24)/K49,0))</f>
        <v/>
      </c>
      <c r="N49" s="12">
        <f>ROUND(B49/Модель!$B$32,0)</f>
        <v/>
      </c>
      <c r="O49" s="10">
        <f>IF(OR(N49=0,K49&lt;=0),"—",M49/N49)</f>
        <v/>
      </c>
      <c r="P49" s="11">
        <f>IF(K49&lt;=0,"цена≤затрат",IF(M49&lt;=N49*0.3,"✅ реально",IF(M49&lt;=N49,"⚠️ напряжно","❌ стек SKU")))</f>
        <v/>
      </c>
    </row>
    <row r="50">
      <c r="A50" s="21" t="inlineStr">
        <is>
          <t>Шейный вентилятор / neck cooler</t>
        </is>
      </c>
      <c r="B50" s="22" t="n">
        <v>4000</v>
      </c>
      <c r="C50" s="7" t="n">
        <v>128.54</v>
      </c>
      <c r="D50" s="7" t="n">
        <v>38.56</v>
      </c>
      <c r="E50" s="8" t="n">
        <v>0.15</v>
      </c>
      <c r="F50" s="7" t="n">
        <v>12</v>
      </c>
      <c r="G50" s="7" t="n">
        <v>12</v>
      </c>
      <c r="H50" s="8" t="n">
        <v>0.03</v>
      </c>
      <c r="I50" s="9">
        <f>C50*E50</f>
        <v/>
      </c>
      <c r="J50" s="9">
        <f>D50+I50+F50+G50+C50*H50</f>
        <v/>
      </c>
      <c r="K50" s="9">
        <f>C50-J50</f>
        <v/>
      </c>
      <c r="L50" s="10">
        <f>K50/C50</f>
        <v/>
      </c>
      <c r="M50" s="12">
        <f>IF(K50&lt;=0,"—",ROUNDUP((Модель!$B$6+Модель!$B$24)/K50,0))</f>
        <v/>
      </c>
      <c r="N50" s="12">
        <f>ROUND(B50/Модель!$B$32,0)</f>
        <v/>
      </c>
      <c r="O50" s="10">
        <f>IF(OR(N50=0,K50&lt;=0),"—",M50/N50)</f>
        <v/>
      </c>
      <c r="P50" s="11">
        <f>IF(K50&lt;=0,"цена≤затрат",IF(M50&lt;=N50*0.3,"✅ реально",IF(M50&lt;=N50,"⚠️ напряжно","❌ стек SKU")))</f>
        <v/>
      </c>
    </row>
    <row r="51">
      <c r="A51" s="21" t="inlineStr">
        <is>
          <t>Охлаждающий жилет (спорт/работа)</t>
        </is>
      </c>
      <c r="B51" s="22" t="n">
        <v>1500</v>
      </c>
      <c r="C51" s="7" t="n">
        <v>201.99</v>
      </c>
      <c r="D51" s="7" t="n">
        <v>60.6</v>
      </c>
      <c r="E51" s="8" t="n">
        <v>0.15</v>
      </c>
      <c r="F51" s="7" t="n">
        <v>12</v>
      </c>
      <c r="G51" s="7" t="n">
        <v>12</v>
      </c>
      <c r="H51" s="8" t="n">
        <v>0.03</v>
      </c>
      <c r="I51" s="9">
        <f>C51*E51</f>
        <v/>
      </c>
      <c r="J51" s="9">
        <f>D51+I51+F51+G51+C51*H51</f>
        <v/>
      </c>
      <c r="K51" s="9">
        <f>C51-J51</f>
        <v/>
      </c>
      <c r="L51" s="10">
        <f>K51/C51</f>
        <v/>
      </c>
      <c r="M51" s="12">
        <f>IF(K51&lt;=0,"—",ROUNDUP((Модель!$B$6+Модель!$B$24)/K51,0))</f>
        <v/>
      </c>
      <c r="N51" s="12">
        <f>ROUND(B51/Модель!$B$32,0)</f>
        <v/>
      </c>
      <c r="O51" s="10">
        <f>IF(OR(N51=0,K51&lt;=0),"—",M51/N51)</f>
        <v/>
      </c>
      <c r="P51" s="11">
        <f>IF(K51&lt;=0,"цена≤затрат",IF(M51&lt;=N51*0.3,"✅ реально",IF(M51&lt;=N51,"⚠️ напряжно","❌ стек SKU")))</f>
        <v/>
      </c>
    </row>
    <row r="52">
      <c r="A52" s="21" t="inlineStr">
        <is>
          <t>Термосумка для холодных компрессов</t>
        </is>
      </c>
      <c r="B52" s="22" t="n">
        <v>2000</v>
      </c>
      <c r="C52" s="7" t="n">
        <v>91.81</v>
      </c>
      <c r="D52" s="7" t="n">
        <v>27.54</v>
      </c>
      <c r="E52" s="8" t="n">
        <v>0.15</v>
      </c>
      <c r="F52" s="7" t="n">
        <v>12</v>
      </c>
      <c r="G52" s="7" t="n">
        <v>12</v>
      </c>
      <c r="H52" s="8" t="n">
        <v>0.03</v>
      </c>
      <c r="I52" s="9">
        <f>C52*E52</f>
        <v/>
      </c>
      <c r="J52" s="9">
        <f>D52+I52+F52+G52+C52*H52</f>
        <v/>
      </c>
      <c r="K52" s="9">
        <f>C52-J52</f>
        <v/>
      </c>
      <c r="L52" s="10">
        <f>K52/C52</f>
        <v/>
      </c>
      <c r="M52" s="12">
        <f>IF(K52&lt;=0,"—",ROUNDUP((Модель!$B$6+Модель!$B$24)/K52,0))</f>
        <v/>
      </c>
      <c r="N52" s="12">
        <f>ROUND(B52/Модель!$B$32,0)</f>
        <v/>
      </c>
      <c r="O52" s="10">
        <f>IF(OR(N52=0,K52&lt;=0),"—",M52/N52)</f>
        <v/>
      </c>
      <c r="P52" s="11">
        <f>IF(K52&lt;=0,"цена≤затрат",IF(M52&lt;=N52*0.3,"✅ реально",IF(M52&lt;=N52,"⚠️ напряжно","❌ стек SKU")))</f>
        <v/>
      </c>
    </row>
    <row r="53">
      <c r="A53" s="21" t="inlineStr">
        <is>
          <t>Охлаждающая бандана / шарф</t>
        </is>
      </c>
      <c r="B53" s="22" t="n">
        <v>4000</v>
      </c>
      <c r="C53" s="7" t="n">
        <v>44.07</v>
      </c>
      <c r="D53" s="7" t="n">
        <v>13.22</v>
      </c>
      <c r="E53" s="8" t="n">
        <v>0.15</v>
      </c>
      <c r="F53" s="7" t="n">
        <v>12</v>
      </c>
      <c r="G53" s="7" t="n">
        <v>12</v>
      </c>
      <c r="H53" s="8" t="n">
        <v>0.03</v>
      </c>
      <c r="I53" s="9">
        <f>C53*E53</f>
        <v/>
      </c>
      <c r="J53" s="9">
        <f>D53+I53+F53+G53+C53*H53</f>
        <v/>
      </c>
      <c r="K53" s="9">
        <f>C53-J53</f>
        <v/>
      </c>
      <c r="L53" s="10">
        <f>K53/C53</f>
        <v/>
      </c>
      <c r="M53" s="12">
        <f>IF(K53&lt;=0,"—",ROUNDUP((Модель!$B$6+Модель!$B$24)/K53,0))</f>
        <v/>
      </c>
      <c r="N53" s="12">
        <f>ROUND(B53/Модель!$B$32,0)</f>
        <v/>
      </c>
      <c r="O53" s="10">
        <f>IF(OR(N53=0,K53&lt;=0),"—",M53/N53)</f>
        <v/>
      </c>
      <c r="P53" s="11">
        <f>IF(K53&lt;=0,"цена≤затрат",IF(M53&lt;=N53*0.3,"✅ реально",IF(M53&lt;=N53,"⚠️ напряжно","❌ стек SKU")))</f>
        <v/>
      </c>
    </row>
    <row r="54">
      <c r="A54" s="21" t="inlineStr">
        <is>
          <t>Мини USB-кондиционер / испарит. охладитель</t>
        </is>
      </c>
      <c r="B54" s="22" t="n">
        <v>4000</v>
      </c>
      <c r="C54" s="7" t="n">
        <v>146.9</v>
      </c>
      <c r="D54" s="7" t="n">
        <v>44.07</v>
      </c>
      <c r="E54" s="8" t="n">
        <v>0.15</v>
      </c>
      <c r="F54" s="7" t="n">
        <v>12</v>
      </c>
      <c r="G54" s="7" t="n">
        <v>12</v>
      </c>
      <c r="H54" s="8" t="n">
        <v>0.03</v>
      </c>
      <c r="I54" s="9">
        <f>C54*E54</f>
        <v/>
      </c>
      <c r="J54" s="9">
        <f>D54+I54+F54+G54+C54*H54</f>
        <v/>
      </c>
      <c r="K54" s="9">
        <f>C54-J54</f>
        <v/>
      </c>
      <c r="L54" s="10">
        <f>K54/C54</f>
        <v/>
      </c>
      <c r="M54" s="12">
        <f>IF(K54&lt;=0,"—",ROUNDUP((Модель!$B$6+Модель!$B$24)/K54,0))</f>
        <v/>
      </c>
      <c r="N54" s="12">
        <f>ROUND(B54/Модель!$B$32,0)</f>
        <v/>
      </c>
      <c r="O54" s="10">
        <f>IF(OR(N54=0,K54&lt;=0),"—",M54/N54)</f>
        <v/>
      </c>
      <c r="P54" s="11">
        <f>IF(K54&lt;=0,"цена≤затрат",IF(M54&lt;=N54*0.3,"✅ реально",IF(M54&lt;=N54,"⚠️ напряжно","❌ стек SKU")))</f>
        <v/>
      </c>
    </row>
    <row r="55">
      <c r="A55" s="21" t="inlineStr">
        <is>
          <t>Настольный / клипс-вентилятор</t>
        </is>
      </c>
      <c r="B55" s="22" t="n">
        <v>5000</v>
      </c>
      <c r="C55" s="7" t="n">
        <v>80.8</v>
      </c>
      <c r="D55" s="7" t="n">
        <v>24.24</v>
      </c>
      <c r="E55" s="8" t="n">
        <v>0.15</v>
      </c>
      <c r="F55" s="7" t="n">
        <v>12</v>
      </c>
      <c r="G55" s="7" t="n">
        <v>12</v>
      </c>
      <c r="H55" s="8" t="n">
        <v>0.03</v>
      </c>
      <c r="I55" s="9">
        <f>C55*E55</f>
        <v/>
      </c>
      <c r="J55" s="9">
        <f>D55+I55+F55+G55+C55*H55</f>
        <v/>
      </c>
      <c r="K55" s="9">
        <f>C55-J55</f>
        <v/>
      </c>
      <c r="L55" s="10">
        <f>K55/C55</f>
        <v/>
      </c>
      <c r="M55" s="12">
        <f>IF(K55&lt;=0,"—",ROUNDUP((Модель!$B$6+Модель!$B$24)/K55,0))</f>
        <v/>
      </c>
      <c r="N55" s="12">
        <f>ROUND(B55/Модель!$B$32,0)</f>
        <v/>
      </c>
      <c r="O55" s="10">
        <f>IF(OR(N55=0,K55&lt;=0),"—",M55/N55)</f>
        <v/>
      </c>
      <c r="P55" s="11">
        <f>IF(K55&lt;=0,"цена≤затрат",IF(M55&lt;=N55*0.3,"✅ реально",IF(M55&lt;=N55,"⚠️ напряжно","❌ стек SKU")))</f>
        <v/>
      </c>
    </row>
    <row r="56">
      <c r="A56" s="21" t="inlineStr">
        <is>
          <t>Вентилятор с распылением (misting fan)</t>
        </is>
      </c>
      <c r="B56" s="22" t="n">
        <v>3000</v>
      </c>
      <c r="C56" s="7" t="n">
        <v>91.81</v>
      </c>
      <c r="D56" s="7" t="n">
        <v>27.54</v>
      </c>
      <c r="E56" s="8" t="n">
        <v>0.15</v>
      </c>
      <c r="F56" s="7" t="n">
        <v>12</v>
      </c>
      <c r="G56" s="7" t="n">
        <v>12</v>
      </c>
      <c r="H56" s="8" t="n">
        <v>0.03</v>
      </c>
      <c r="I56" s="9">
        <f>C56*E56</f>
        <v/>
      </c>
      <c r="J56" s="9">
        <f>D56+I56+F56+G56+C56*H56</f>
        <v/>
      </c>
      <c r="K56" s="9">
        <f>C56-J56</f>
        <v/>
      </c>
      <c r="L56" s="10">
        <f>K56/C56</f>
        <v/>
      </c>
      <c r="M56" s="12">
        <f>IF(K56&lt;=0,"—",ROUNDUP((Модель!$B$6+Модель!$B$24)/K56,0))</f>
        <v/>
      </c>
      <c r="N56" s="12">
        <f>ROUND(B56/Модель!$B$32,0)</f>
        <v/>
      </c>
      <c r="O56" s="10">
        <f>IF(OR(N56=0,K56&lt;=0),"—",M56/N56)</f>
        <v/>
      </c>
      <c r="P56" s="11">
        <f>IF(K56&lt;=0,"цена≤затрат",IF(M56&lt;=N56*0.3,"✅ реально",IF(M56&lt;=N56,"⚠️ напряжно","❌ стек SKU")))</f>
        <v/>
      </c>
    </row>
    <row r="57">
      <c r="A57" s="21" t="inlineStr">
        <is>
          <t>Охлаждающие гелевые стельки</t>
        </is>
      </c>
      <c r="B57" s="22" t="n">
        <v>2000</v>
      </c>
      <c r="C57" s="7" t="n">
        <v>55.09</v>
      </c>
      <c r="D57" s="7" t="n">
        <v>16.53</v>
      </c>
      <c r="E57" s="8" t="n">
        <v>0.15</v>
      </c>
      <c r="F57" s="7" t="n">
        <v>12</v>
      </c>
      <c r="G57" s="7" t="n">
        <v>12</v>
      </c>
      <c r="H57" s="8" t="n">
        <v>0.03</v>
      </c>
      <c r="I57" s="9">
        <f>C57*E57</f>
        <v/>
      </c>
      <c r="J57" s="9">
        <f>D57+I57+F57+G57+C57*H57</f>
        <v/>
      </c>
      <c r="K57" s="9">
        <f>C57-J57</f>
        <v/>
      </c>
      <c r="L57" s="10">
        <f>K57/C57</f>
        <v/>
      </c>
      <c r="M57" s="12">
        <f>IF(K57&lt;=0,"—",ROUNDUP((Модель!$B$6+Модель!$B$24)/K57,0))</f>
        <v/>
      </c>
      <c r="N57" s="12">
        <f>ROUND(B57/Модель!$B$32,0)</f>
        <v/>
      </c>
      <c r="O57" s="10">
        <f>IF(OR(N57=0,K57&lt;=0),"—",M57/N57)</f>
        <v/>
      </c>
      <c r="P57" s="11">
        <f>IF(K57&lt;=0,"цена≤затрат",IF(M57&lt;=N57*0.3,"✅ реально",IF(M57&lt;=N57,"⚠️ напряжно","❌ стек SKU")))</f>
        <v/>
      </c>
    </row>
    <row r="58">
      <c r="A58" s="21" t="inlineStr">
        <is>
          <t>Самоохлаждающийся коврик (сон/питомцы)</t>
        </is>
      </c>
      <c r="B58" s="22" t="n">
        <v>3000</v>
      </c>
      <c r="C58" s="7" t="n">
        <v>110.17</v>
      </c>
      <c r="D58" s="7" t="n">
        <v>33.05</v>
      </c>
      <c r="E58" s="8" t="n">
        <v>0.15</v>
      </c>
      <c r="F58" s="7" t="n">
        <v>12</v>
      </c>
      <c r="G58" s="7" t="n">
        <v>12</v>
      </c>
      <c r="H58" s="8" t="n">
        <v>0.03</v>
      </c>
      <c r="I58" s="9">
        <f>C58*E58</f>
        <v/>
      </c>
      <c r="J58" s="9">
        <f>D58+I58+F58+G58+C58*H58</f>
        <v/>
      </c>
      <c r="K58" s="9">
        <f>C58-J58</f>
        <v/>
      </c>
      <c r="L58" s="10">
        <f>K58/C58</f>
        <v/>
      </c>
      <c r="M58" s="12">
        <f>IF(K58&lt;=0,"—",ROUNDUP((Модель!$B$6+Модель!$B$24)/K58,0))</f>
        <v/>
      </c>
      <c r="N58" s="12">
        <f>ROUND(B58/Модель!$B$32,0)</f>
        <v/>
      </c>
      <c r="O58" s="10">
        <f>IF(OR(N58=0,K58&lt;=0),"—",M58/N58)</f>
        <v/>
      </c>
      <c r="P58" s="11">
        <f>IF(K58&lt;=0,"цена≤затрат",IF(M58&lt;=N58*0.3,"✅ реально",IF(M58&lt;=N58,"⚠️ напряжно","❌ стек SKU")))</f>
        <v/>
      </c>
    </row>
    <row r="59">
      <c r="A59" s="21" t="inlineStr">
        <is>
          <t>Зонт от солнца UPF (анти-UV)</t>
        </is>
      </c>
      <c r="B59" s="22" t="n">
        <v>4000</v>
      </c>
      <c r="C59" s="7" t="n">
        <v>91.81</v>
      </c>
      <c r="D59" s="7" t="n">
        <v>27.54</v>
      </c>
      <c r="E59" s="8" t="n">
        <v>0.15</v>
      </c>
      <c r="F59" s="7" t="n">
        <v>12</v>
      </c>
      <c r="G59" s="7" t="n">
        <v>12</v>
      </c>
      <c r="H59" s="8" t="n">
        <v>0.03</v>
      </c>
      <c r="I59" s="9">
        <f>C59*E59</f>
        <v/>
      </c>
      <c r="J59" s="9">
        <f>D59+I59+F59+G59+C59*H59</f>
        <v/>
      </c>
      <c r="K59" s="9">
        <f>C59-J59</f>
        <v/>
      </c>
      <c r="L59" s="10">
        <f>K59/C59</f>
        <v/>
      </c>
      <c r="M59" s="12">
        <f>IF(K59&lt;=0,"—",ROUNDUP((Модель!$B$6+Модель!$B$24)/K59,0))</f>
        <v/>
      </c>
      <c r="N59" s="12">
        <f>ROUND(B59/Модель!$B$32,0)</f>
        <v/>
      </c>
      <c r="O59" s="10">
        <f>IF(OR(N59=0,K59&lt;=0),"—",M59/N59)</f>
        <v/>
      </c>
      <c r="P59" s="11">
        <f>IF(K59&lt;=0,"цена≤затрат",IF(M59&lt;=N59*0.3,"✅ реально",IF(M59&lt;=N59,"⚠️ напряжно","❌ стек SKU")))</f>
        <v/>
      </c>
    </row>
    <row r="60">
      <c r="A60" s="18" t="inlineStr">
        <is>
          <t>▸ Качество воздуха / увлажнение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</row>
    <row r="61">
      <c r="A61" s="21" t="inlineStr">
        <is>
          <t>Увлажнитель воздуха</t>
        </is>
      </c>
      <c r="B61" s="22" t="n">
        <v>8000</v>
      </c>
      <c r="C61" s="7" t="n">
        <v>146.9</v>
      </c>
      <c r="D61" s="7" t="n">
        <v>44.07</v>
      </c>
      <c r="E61" s="8" t="n">
        <v>0.15</v>
      </c>
      <c r="F61" s="7" t="n">
        <v>12</v>
      </c>
      <c r="G61" s="7" t="n">
        <v>12</v>
      </c>
      <c r="H61" s="8" t="n">
        <v>0.03</v>
      </c>
      <c r="I61" s="9">
        <f>C61*E61</f>
        <v/>
      </c>
      <c r="J61" s="9">
        <f>D61+I61+F61+G61+C61*H61</f>
        <v/>
      </c>
      <c r="K61" s="9">
        <f>C61-J61</f>
        <v/>
      </c>
      <c r="L61" s="10">
        <f>K61/C61</f>
        <v/>
      </c>
      <c r="M61" s="12">
        <f>IF(K61&lt;=0,"—",ROUNDUP((Модель!$B$6+Модель!$B$24)/K61,0))</f>
        <v/>
      </c>
      <c r="N61" s="12">
        <f>ROUND(B61/Модель!$B$32,0)</f>
        <v/>
      </c>
      <c r="O61" s="10">
        <f>IF(OR(N61=0,K61&lt;=0),"—",M61/N61)</f>
        <v/>
      </c>
      <c r="P61" s="11">
        <f>IF(K61&lt;=0,"цена≤затрат",IF(M61&lt;=N61*0.3,"✅ реально",IF(M61&lt;=N61,"⚠️ напряжно","❌ стек SKU")))</f>
        <v/>
      </c>
    </row>
    <row r="62">
      <c r="A62" s="21" t="inlineStr">
        <is>
          <t>Увлажнитель с гигрометром</t>
        </is>
      </c>
      <c r="B62" s="22" t="n">
        <v>3000</v>
      </c>
      <c r="C62" s="7" t="n">
        <v>183.62</v>
      </c>
      <c r="D62" s="7" t="n">
        <v>55.09</v>
      </c>
      <c r="E62" s="8" t="n">
        <v>0.15</v>
      </c>
      <c r="F62" s="7" t="n">
        <v>12</v>
      </c>
      <c r="G62" s="7" t="n">
        <v>12</v>
      </c>
      <c r="H62" s="8" t="n">
        <v>0.03</v>
      </c>
      <c r="I62" s="9">
        <f>C62*E62</f>
        <v/>
      </c>
      <c r="J62" s="9">
        <f>D62+I62+F62+G62+C62*H62</f>
        <v/>
      </c>
      <c r="K62" s="9">
        <f>C62-J62</f>
        <v/>
      </c>
      <c r="L62" s="10">
        <f>K62/C62</f>
        <v/>
      </c>
      <c r="M62" s="12">
        <f>IF(K62&lt;=0,"—",ROUNDUP((Модель!$B$6+Модель!$B$24)/K62,0))</f>
        <v/>
      </c>
      <c r="N62" s="12">
        <f>ROUND(B62/Модель!$B$32,0)</f>
        <v/>
      </c>
      <c r="O62" s="10">
        <f>IF(OR(N62=0,K62&lt;=0),"—",M62/N62)</f>
        <v/>
      </c>
      <c r="P62" s="11">
        <f>IF(K62&lt;=0,"цена≤затрат",IF(M62&lt;=N62*0.3,"✅ реально",IF(M62&lt;=N62,"⚠️ напряжно","❌ стек SKU")))</f>
        <v/>
      </c>
    </row>
    <row r="63">
      <c r="A63" s="21" t="inlineStr">
        <is>
          <t>Датчик CO₂ / PM2.5 / темп. / влажности</t>
        </is>
      </c>
      <c r="B63" s="22" t="n">
        <v>2000</v>
      </c>
      <c r="C63" s="7" t="n">
        <v>293.8</v>
      </c>
      <c r="D63" s="7" t="n">
        <v>88.14</v>
      </c>
      <c r="E63" s="8" t="n">
        <v>0.15</v>
      </c>
      <c r="F63" s="7" t="n">
        <v>12</v>
      </c>
      <c r="G63" s="7" t="n">
        <v>12</v>
      </c>
      <c r="H63" s="8" t="n">
        <v>0.03</v>
      </c>
      <c r="I63" s="9">
        <f>C63*E63</f>
        <v/>
      </c>
      <c r="J63" s="9">
        <f>D63+I63+F63+G63+C63*H63</f>
        <v/>
      </c>
      <c r="K63" s="9">
        <f>C63-J63</f>
        <v/>
      </c>
      <c r="L63" s="10">
        <f>K63/C63</f>
        <v/>
      </c>
      <c r="M63" s="12">
        <f>IF(K63&lt;=0,"—",ROUNDUP((Модель!$B$6+Модель!$B$24)/K63,0))</f>
        <v/>
      </c>
      <c r="N63" s="12">
        <f>ROUND(B63/Модель!$B$32,0)</f>
        <v/>
      </c>
      <c r="O63" s="10">
        <f>IF(OR(N63=0,K63&lt;=0),"—",M63/N63)</f>
        <v/>
      </c>
      <c r="P63" s="11">
        <f>IF(K63&lt;=0,"цена≤затрат",IF(M63&lt;=N63*0.3,"✅ реально",IF(M63&lt;=N63,"⚠️ напряжно","❌ стек SKU")))</f>
        <v/>
      </c>
    </row>
    <row r="64">
      <c r="A64" s="21" t="inlineStr">
        <is>
          <t>Очиститель воздуха (HEPA)</t>
        </is>
      </c>
      <c r="B64" s="22" t="n">
        <v>5000</v>
      </c>
      <c r="C64" s="7" t="n">
        <v>293.8</v>
      </c>
      <c r="D64" s="7" t="n">
        <v>88.14</v>
      </c>
      <c r="E64" s="8" t="n">
        <v>0.15</v>
      </c>
      <c r="F64" s="7" t="n">
        <v>12</v>
      </c>
      <c r="G64" s="7" t="n">
        <v>12</v>
      </c>
      <c r="H64" s="8" t="n">
        <v>0.03</v>
      </c>
      <c r="I64" s="9">
        <f>C64*E64</f>
        <v/>
      </c>
      <c r="J64" s="9">
        <f>D64+I64+F64+G64+C64*H64</f>
        <v/>
      </c>
      <c r="K64" s="9">
        <f>C64-J64</f>
        <v/>
      </c>
      <c r="L64" s="10">
        <f>K64/C64</f>
        <v/>
      </c>
      <c r="M64" s="12">
        <f>IF(K64&lt;=0,"—",ROUNDUP((Модель!$B$6+Модель!$B$24)/K64,0))</f>
        <v/>
      </c>
      <c r="N64" s="12">
        <f>ROUND(B64/Модель!$B$32,0)</f>
        <v/>
      </c>
      <c r="O64" s="10">
        <f>IF(OR(N64=0,K64&lt;=0),"—",M64/N64)</f>
        <v/>
      </c>
      <c r="P64" s="11">
        <f>IF(K64&lt;=0,"цена≤затрат",IF(M64&lt;=N64*0.3,"✅ реально",IF(M64&lt;=N64,"⚠️ напряжно","❌ стек SKU")))</f>
        <v/>
      </c>
    </row>
    <row r="65">
      <c r="A65" s="21" t="inlineStr">
        <is>
          <t>Сменные HEPA-фильтры</t>
        </is>
      </c>
      <c r="B65" s="22" t="n">
        <v>4000</v>
      </c>
      <c r="C65" s="7" t="n">
        <v>91.81</v>
      </c>
      <c r="D65" s="7" t="n">
        <v>27.54</v>
      </c>
      <c r="E65" s="8" t="n">
        <v>0.15</v>
      </c>
      <c r="F65" s="7" t="n">
        <v>12</v>
      </c>
      <c r="G65" s="7" t="n">
        <v>12</v>
      </c>
      <c r="H65" s="8" t="n">
        <v>0.03</v>
      </c>
      <c r="I65" s="9">
        <f>C65*E65</f>
        <v/>
      </c>
      <c r="J65" s="9">
        <f>D65+I65+F65+G65+C65*H65</f>
        <v/>
      </c>
      <c r="K65" s="9">
        <f>C65-J65</f>
        <v/>
      </c>
      <c r="L65" s="10">
        <f>K65/C65</f>
        <v/>
      </c>
      <c r="M65" s="12">
        <f>IF(K65&lt;=0,"—",ROUNDUP((Модель!$B$6+Модель!$B$24)/K65,0))</f>
        <v/>
      </c>
      <c r="N65" s="12">
        <f>ROUND(B65/Модель!$B$32,0)</f>
        <v/>
      </c>
      <c r="O65" s="10">
        <f>IF(OR(N65=0,K65&lt;=0),"—",M65/N65)</f>
        <v/>
      </c>
      <c r="P65" s="11">
        <f>IF(K65&lt;=0,"цена≤затрат",IF(M65&lt;=N65*0.3,"✅ реально",IF(M65&lt;=N65,"⚠️ напряжно","❌ стек SKU")))</f>
        <v/>
      </c>
    </row>
    <row r="66">
      <c r="A66" s="21" t="inlineStr">
        <is>
          <t>Гигрометр-термометр (отдельный)</t>
        </is>
      </c>
      <c r="B66" s="22" t="n">
        <v>5000</v>
      </c>
      <c r="C66" s="7" t="n">
        <v>55.09</v>
      </c>
      <c r="D66" s="7" t="n">
        <v>16.53</v>
      </c>
      <c r="E66" s="8" t="n">
        <v>0.15</v>
      </c>
      <c r="F66" s="7" t="n">
        <v>12</v>
      </c>
      <c r="G66" s="7" t="n">
        <v>12</v>
      </c>
      <c r="H66" s="8" t="n">
        <v>0.03</v>
      </c>
      <c r="I66" s="9">
        <f>C66*E66</f>
        <v/>
      </c>
      <c r="J66" s="9">
        <f>D66+I66+F66+G66+C66*H66</f>
        <v/>
      </c>
      <c r="K66" s="9">
        <f>C66-J66</f>
        <v/>
      </c>
      <c r="L66" s="10">
        <f>K66/C66</f>
        <v/>
      </c>
      <c r="M66" s="12">
        <f>IF(K66&lt;=0,"—",ROUNDUP((Модель!$B$6+Модель!$B$24)/K66,0))</f>
        <v/>
      </c>
      <c r="N66" s="12">
        <f>ROUND(B66/Модель!$B$32,0)</f>
        <v/>
      </c>
      <c r="O66" s="10">
        <f>IF(OR(N66=0,K66&lt;=0),"—",M66/N66)</f>
        <v/>
      </c>
      <c r="P66" s="11">
        <f>IF(K66&lt;=0,"цена≤затрат",IF(M66&lt;=N66*0.3,"✅ реально",IF(M66&lt;=N66,"⚠️ напряжно","❌ стек SKU")))</f>
        <v/>
      </c>
    </row>
    <row r="67">
      <c r="A67" s="21" t="inlineStr">
        <is>
          <t>Диффузор эфирных масел</t>
        </is>
      </c>
      <c r="B67" s="22" t="n">
        <v>5000</v>
      </c>
      <c r="C67" s="7" t="n">
        <v>91.81</v>
      </c>
      <c r="D67" s="7" t="n">
        <v>27.54</v>
      </c>
      <c r="E67" s="8" t="n">
        <v>0.15</v>
      </c>
      <c r="F67" s="7" t="n">
        <v>12</v>
      </c>
      <c r="G67" s="7" t="n">
        <v>12</v>
      </c>
      <c r="H67" s="8" t="n">
        <v>0.03</v>
      </c>
      <c r="I67" s="9">
        <f>C67*E67</f>
        <v/>
      </c>
      <c r="J67" s="9">
        <f>D67+I67+F67+G67+C67*H67</f>
        <v/>
      </c>
      <c r="K67" s="9">
        <f>C67-J67</f>
        <v/>
      </c>
      <c r="L67" s="10">
        <f>K67/C67</f>
        <v/>
      </c>
      <c r="M67" s="12">
        <f>IF(K67&lt;=0,"—",ROUNDUP((Модель!$B$6+Модель!$B$24)/K67,0))</f>
        <v/>
      </c>
      <c r="N67" s="12">
        <f>ROUND(B67/Модель!$B$32,0)</f>
        <v/>
      </c>
      <c r="O67" s="10">
        <f>IF(OR(N67=0,K67&lt;=0),"—",M67/N67)</f>
        <v/>
      </c>
      <c r="P67" s="11">
        <f>IF(K67&lt;=0,"цена≤затрат",IF(M67&lt;=N67*0.3,"✅ реально",IF(M67&lt;=N67,"⚠️ напряжно","❌ стек SKU")))</f>
        <v/>
      </c>
    </row>
    <row r="68">
      <c r="A68" s="21" t="inlineStr">
        <is>
          <t>Портативный осушитель воздуха</t>
        </is>
      </c>
      <c r="B68" s="22" t="n">
        <v>2000</v>
      </c>
      <c r="C68" s="7" t="n">
        <v>183.62</v>
      </c>
      <c r="D68" s="7" t="n">
        <v>55.09</v>
      </c>
      <c r="E68" s="8" t="n">
        <v>0.15</v>
      </c>
      <c r="F68" s="7" t="n">
        <v>12</v>
      </c>
      <c r="G68" s="7" t="n">
        <v>12</v>
      </c>
      <c r="H68" s="8" t="n">
        <v>0.03</v>
      </c>
      <c r="I68" s="9">
        <f>C68*E68</f>
        <v/>
      </c>
      <c r="J68" s="9">
        <f>D68+I68+F68+G68+C68*H68</f>
        <v/>
      </c>
      <c r="K68" s="9">
        <f>C68-J68</f>
        <v/>
      </c>
      <c r="L68" s="10">
        <f>K68/C68</f>
        <v/>
      </c>
      <c r="M68" s="12">
        <f>IF(K68&lt;=0,"—",ROUNDUP((Модель!$B$6+Модель!$B$24)/K68,0))</f>
        <v/>
      </c>
      <c r="N68" s="12">
        <f>ROUND(B68/Модель!$B$32,0)</f>
        <v/>
      </c>
      <c r="O68" s="10">
        <f>IF(OR(N68=0,K68&lt;=0),"—",M68/N68)</f>
        <v/>
      </c>
      <c r="P68" s="11">
        <f>IF(K68&lt;=0,"цена≤затрат",IF(M68&lt;=N68*0.3,"✅ реально",IF(M68&lt;=N68,"⚠️ напряжно","❌ стек SKU")))</f>
        <v/>
      </c>
    </row>
    <row r="69">
      <c r="A69" s="18" t="inlineStr">
        <is>
          <t>▸ Йога / фитнес</t>
        </is>
      </c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</row>
    <row r="70">
      <c r="A70" s="21" t="inlineStr">
        <is>
          <t>Коврик для йоги / гимнастики</t>
        </is>
      </c>
      <c r="B70" s="22" t="n">
        <v>6000</v>
      </c>
      <c r="C70" s="7" t="n">
        <v>110.17</v>
      </c>
      <c r="D70" s="7" t="n">
        <v>33.05</v>
      </c>
      <c r="E70" s="8" t="n">
        <v>0.15</v>
      </c>
      <c r="F70" s="7" t="n">
        <v>12</v>
      </c>
      <c r="G70" s="7" t="n">
        <v>12</v>
      </c>
      <c r="H70" s="8" t="n">
        <v>0.03</v>
      </c>
      <c r="I70" s="9">
        <f>C70*E70</f>
        <v/>
      </c>
      <c r="J70" s="9">
        <f>D70+I70+F70+G70+C70*H70</f>
        <v/>
      </c>
      <c r="K70" s="9">
        <f>C70-J70</f>
        <v/>
      </c>
      <c r="L70" s="10">
        <f>K70/C70</f>
        <v/>
      </c>
      <c r="M70" s="12">
        <f>IF(K70&lt;=0,"—",ROUNDUP((Модель!$B$6+Модель!$B$24)/K70,0))</f>
        <v/>
      </c>
      <c r="N70" s="12">
        <f>ROUND(B70/Модель!$B$32,0)</f>
        <v/>
      </c>
      <c r="O70" s="10">
        <f>IF(OR(N70=0,K70&lt;=0),"—",M70/N70)</f>
        <v/>
      </c>
      <c r="P70" s="11">
        <f>IF(K70&lt;=0,"цена≤затрат",IF(M70&lt;=N70*0.3,"✅ реально",IF(M70&lt;=N70,"⚠️ напряжно","❌ стек SKU")))</f>
        <v/>
      </c>
    </row>
    <row r="71">
      <c r="A71" s="21" t="inlineStr">
        <is>
          <t>Блоки для йоги (пара)</t>
        </is>
      </c>
      <c r="B71" s="22" t="n">
        <v>4000</v>
      </c>
      <c r="C71" s="7" t="n">
        <v>55.09</v>
      </c>
      <c r="D71" s="7" t="n">
        <v>16.53</v>
      </c>
      <c r="E71" s="8" t="n">
        <v>0.15</v>
      </c>
      <c r="F71" s="7" t="n">
        <v>12</v>
      </c>
      <c r="G71" s="7" t="n">
        <v>12</v>
      </c>
      <c r="H71" s="8" t="n">
        <v>0.03</v>
      </c>
      <c r="I71" s="9">
        <f>C71*E71</f>
        <v/>
      </c>
      <c r="J71" s="9">
        <f>D71+I71+F71+G71+C71*H71</f>
        <v/>
      </c>
      <c r="K71" s="9">
        <f>C71-J71</f>
        <v/>
      </c>
      <c r="L71" s="10">
        <f>K71/C71</f>
        <v/>
      </c>
      <c r="M71" s="12">
        <f>IF(K71&lt;=0,"—",ROUNDUP((Модель!$B$6+Модель!$B$24)/K71,0))</f>
        <v/>
      </c>
      <c r="N71" s="12">
        <f>ROUND(B71/Модель!$B$32,0)</f>
        <v/>
      </c>
      <c r="O71" s="10">
        <f>IF(OR(N71=0,K71&lt;=0),"—",M71/N71)</f>
        <v/>
      </c>
      <c r="P71" s="11">
        <f>IF(K71&lt;=0,"цена≤затрат",IF(M71&lt;=N71*0.3,"✅ реально",IF(M71&lt;=N71,"⚠️ напряжно","❌ стек SKU")))</f>
        <v/>
      </c>
    </row>
    <row r="72">
      <c r="A72" s="21" t="inlineStr">
        <is>
          <t>Ремень для йоги (strap)</t>
        </is>
      </c>
      <c r="B72" s="22" t="n">
        <v>3000</v>
      </c>
      <c r="C72" s="7" t="n">
        <v>36.73</v>
      </c>
      <c r="D72" s="7" t="n">
        <v>11.02</v>
      </c>
      <c r="E72" s="8" t="n">
        <v>0.15</v>
      </c>
      <c r="F72" s="7" t="n">
        <v>12</v>
      </c>
      <c r="G72" s="7" t="n">
        <v>12</v>
      </c>
      <c r="H72" s="8" t="n">
        <v>0.03</v>
      </c>
      <c r="I72" s="9">
        <f>C72*E72</f>
        <v/>
      </c>
      <c r="J72" s="9">
        <f>D72+I72+F72+G72+C72*H72</f>
        <v/>
      </c>
      <c r="K72" s="9">
        <f>C72-J72</f>
        <v/>
      </c>
      <c r="L72" s="10">
        <f>K72/C72</f>
        <v/>
      </c>
      <c r="M72" s="12">
        <f>IF(K72&lt;=0,"—",ROUNDUP((Модель!$B$6+Модель!$B$24)/K72,0))</f>
        <v/>
      </c>
      <c r="N72" s="12">
        <f>ROUND(B72/Модель!$B$32,0)</f>
        <v/>
      </c>
      <c r="O72" s="10">
        <f>IF(OR(N72=0,K72&lt;=0),"—",M72/N72)</f>
        <v/>
      </c>
      <c r="P72" s="11">
        <f>IF(K72&lt;=0,"цена≤затрат",IF(M72&lt;=N72*0.3,"✅ реально",IF(M72&lt;=N72,"⚠️ напряжно","❌ стек SKU")))</f>
        <v/>
      </c>
    </row>
    <row r="73">
      <c r="A73" s="21" t="inlineStr">
        <is>
          <t>Колесо для йоги (yoga wheel)</t>
        </is>
      </c>
      <c r="B73" s="22" t="n">
        <v>2000</v>
      </c>
      <c r="C73" s="7" t="n">
        <v>110.17</v>
      </c>
      <c r="D73" s="7" t="n">
        <v>33.05</v>
      </c>
      <c r="E73" s="8" t="n">
        <v>0.15</v>
      </c>
      <c r="F73" s="7" t="n">
        <v>12</v>
      </c>
      <c r="G73" s="7" t="n">
        <v>12</v>
      </c>
      <c r="H73" s="8" t="n">
        <v>0.03</v>
      </c>
      <c r="I73" s="9">
        <f>C73*E73</f>
        <v/>
      </c>
      <c r="J73" s="9">
        <f>D73+I73+F73+G73+C73*H73</f>
        <v/>
      </c>
      <c r="K73" s="9">
        <f>C73-J73</f>
        <v/>
      </c>
      <c r="L73" s="10">
        <f>K73/C73</f>
        <v/>
      </c>
      <c r="M73" s="12">
        <f>IF(K73&lt;=0,"—",ROUNDUP((Модель!$B$6+Модель!$B$24)/K73,0))</f>
        <v/>
      </c>
      <c r="N73" s="12">
        <f>ROUND(B73/Модель!$B$32,0)</f>
        <v/>
      </c>
      <c r="O73" s="10">
        <f>IF(OR(N73=0,K73&lt;=0),"—",M73/N73)</f>
        <v/>
      </c>
      <c r="P73" s="11">
        <f>IF(K73&lt;=0,"цена≤затрат",IF(M73&lt;=N73*0.3,"✅ реально",IF(M73&lt;=N73,"⚠️ напряжно","❌ стек SKU")))</f>
        <v/>
      </c>
    </row>
    <row r="74">
      <c r="A74" s="21" t="inlineStr">
        <is>
          <t>Эспандеры / резинки (resistance bands)</t>
        </is>
      </c>
      <c r="B74" s="22" t="n">
        <v>8000</v>
      </c>
      <c r="C74" s="7" t="n">
        <v>73.45</v>
      </c>
      <c r="D74" s="7" t="n">
        <v>22.04</v>
      </c>
      <c r="E74" s="8" t="n">
        <v>0.15</v>
      </c>
      <c r="F74" s="7" t="n">
        <v>12</v>
      </c>
      <c r="G74" s="7" t="n">
        <v>12</v>
      </c>
      <c r="H74" s="8" t="n">
        <v>0.03</v>
      </c>
      <c r="I74" s="9">
        <f>C74*E74</f>
        <v/>
      </c>
      <c r="J74" s="9">
        <f>D74+I74+F74+G74+C74*H74</f>
        <v/>
      </c>
      <c r="K74" s="9">
        <f>C74-J74</f>
        <v/>
      </c>
      <c r="L74" s="10">
        <f>K74/C74</f>
        <v/>
      </c>
      <c r="M74" s="12">
        <f>IF(K74&lt;=0,"—",ROUNDUP((Модель!$B$6+Модель!$B$24)/K74,0))</f>
        <v/>
      </c>
      <c r="N74" s="12">
        <f>ROUND(B74/Модель!$B$32,0)</f>
        <v/>
      </c>
      <c r="O74" s="10">
        <f>IF(OR(N74=0,K74&lt;=0),"—",M74/N74)</f>
        <v/>
      </c>
      <c r="P74" s="11">
        <f>IF(K74&lt;=0,"цена≤затрат",IF(M74&lt;=N74*0.3,"✅ реально",IF(M74&lt;=N74,"⚠️ напряжно","❌ стек SKU")))</f>
        <v/>
      </c>
    </row>
    <row r="75">
      <c r="A75" s="21" t="inlineStr">
        <is>
          <t>Балансировочная подушка / диск</t>
        </is>
      </c>
      <c r="B75" s="22" t="n">
        <v>3000</v>
      </c>
      <c r="C75" s="7" t="n">
        <v>91.81</v>
      </c>
      <c r="D75" s="7" t="n">
        <v>27.54</v>
      </c>
      <c r="E75" s="8" t="n">
        <v>0.15</v>
      </c>
      <c r="F75" s="7" t="n">
        <v>12</v>
      </c>
      <c r="G75" s="7" t="n">
        <v>12</v>
      </c>
      <c r="H75" s="8" t="n">
        <v>0.03</v>
      </c>
      <c r="I75" s="9">
        <f>C75*E75</f>
        <v/>
      </c>
      <c r="J75" s="9">
        <f>D75+I75+F75+G75+C75*H75</f>
        <v/>
      </c>
      <c r="K75" s="9">
        <f>C75-J75</f>
        <v/>
      </c>
      <c r="L75" s="10">
        <f>K75/C75</f>
        <v/>
      </c>
      <c r="M75" s="12">
        <f>IF(K75&lt;=0,"—",ROUNDUP((Модель!$B$6+Модель!$B$24)/K75,0))</f>
        <v/>
      </c>
      <c r="N75" s="12">
        <f>ROUND(B75/Модель!$B$32,0)</f>
        <v/>
      </c>
      <c r="O75" s="10">
        <f>IF(OR(N75=0,K75&lt;=0),"—",M75/N75)</f>
        <v/>
      </c>
      <c r="P75" s="11">
        <f>IF(K75&lt;=0,"цена≤затрат",IF(M75&lt;=N75*0.3,"✅ реально",IF(M75&lt;=N75,"⚠️ напряжно","❌ стек SKU")))</f>
        <v/>
      </c>
    </row>
    <row r="76">
      <c r="A76" s="21" t="inlineStr">
        <is>
          <t>Ролик для пресса (ab wheel)</t>
        </is>
      </c>
      <c r="B76" s="22" t="n">
        <v>4000</v>
      </c>
      <c r="C76" s="7" t="n">
        <v>73.45</v>
      </c>
      <c r="D76" s="7" t="n">
        <v>22.04</v>
      </c>
      <c r="E76" s="8" t="n">
        <v>0.15</v>
      </c>
      <c r="F76" s="7" t="n">
        <v>12</v>
      </c>
      <c r="G76" s="7" t="n">
        <v>12</v>
      </c>
      <c r="H76" s="8" t="n">
        <v>0.03</v>
      </c>
      <c r="I76" s="9">
        <f>C76*E76</f>
        <v/>
      </c>
      <c r="J76" s="9">
        <f>D76+I76+F76+G76+C76*H76</f>
        <v/>
      </c>
      <c r="K76" s="9">
        <f>C76-J76</f>
        <v/>
      </c>
      <c r="L76" s="10">
        <f>K76/C76</f>
        <v/>
      </c>
      <c r="M76" s="12">
        <f>IF(K76&lt;=0,"—",ROUNDUP((Модель!$B$6+Модель!$B$24)/K76,0))</f>
        <v/>
      </c>
      <c r="N76" s="12">
        <f>ROUND(B76/Модель!$B$32,0)</f>
        <v/>
      </c>
      <c r="O76" s="10">
        <f>IF(OR(N76=0,K76&lt;=0),"—",M76/N76)</f>
        <v/>
      </c>
      <c r="P76" s="11">
        <f>IF(K76&lt;=0,"цена≤затрат",IF(M76&lt;=N76*0.3,"✅ реально",IF(M76&lt;=N76,"⚠️ напряжно","❌ стек SKU")))</f>
        <v/>
      </c>
    </row>
    <row r="78">
      <c r="A78" s="2" t="inlineStr">
        <is>
          <t>Столбцы: Комиссия = Цена×Комиссия%. Перем.затраты = COGS+Комиссия+FBA+PPC+Цена×Возвраты%. Валовая приб./шт = Цена − Перем.затраты. Юнитов/мес для цели = (Цель прибыли[Модель]+Фикс[Модель]) / Валовая приб/шт. Спрос ОАЭ = Продажи US / Коэффициент[Модель]. Вердикт: ✅ ≤30% ниши / ⚠️ до 100% / ❌ больше ниши (нужен стек из нескольких SKU).</t>
        </is>
      </c>
    </row>
    <row r="80">
      <c r="A80" s="23" t="inlineStr">
        <is>
          <t>Цена ОАЭ предзаполнена как прямой пересчёт US-цены ×3.6725 — это НЕЙТРАЛЬНЫЙ старт. Импортные health-товары в ОАЭ часто стоят дороже US: подними цену под реальный листинг amazon.ae/noon и увидишь, как маржа и вердикт улучшаются.</t>
        </is>
      </c>
    </row>
    <row r="81">
      <c r="A81" s="2" t="inlineStr">
        <is>
          <t>Оранжевые строки — ниши, подтверждённые рыночными данными (веб), но US-объём в них ОЦЕНОЧНЫЙ. Прогони title-поиск в Keepa (напр. «posture corrector») и впиши реальные продажи/цену поставщика.</t>
        </is>
      </c>
    </row>
  </sheetData>
  <hyperlinks>
    <hyperlink xmlns:r="http://schemas.openxmlformats.org/officeDocument/2006/relationships" ref="Q6" r:id="rId1"/>
    <hyperlink xmlns:r="http://schemas.openxmlformats.org/officeDocument/2006/relationships" ref="Q18" r:id="rId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СЦЕНАРИИ — сколько юнитов/мес нужно для цели по прибыли</t>
        </is>
      </c>
    </row>
    <row r="2">
      <c r="A2" s="2" t="inlineStr">
        <is>
          <t>Все формулы тянут вход с листа «Модель». Меняешь там — тут пересчитывается.</t>
        </is>
      </c>
    </row>
    <row r="4">
      <c r="A4" s="3" t="inlineStr">
        <is>
          <t>A. Юнитов/мес для цели по прибыли — при разной цене и марже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Цена, AED \ Маржа →</t>
        </is>
      </c>
      <c r="B5" s="24" t="n">
        <v>0.2</v>
      </c>
      <c r="C5" s="24" t="n">
        <v>0.25</v>
      </c>
      <c r="D5" s="24" t="n">
        <v>0.3</v>
      </c>
      <c r="E5" s="24" t="n">
        <v>0.35</v>
      </c>
      <c r="F5" s="24" t="n">
        <v>0.4</v>
      </c>
      <c r="G5" s="24" t="n">
        <v>0.5</v>
      </c>
    </row>
    <row r="6">
      <c r="A6" s="25" t="n">
        <v>50</v>
      </c>
      <c r="B6" s="26">
        <f>ROUNDUP((Модель!B6+Модель!B24)/(A6*B5),0)</f>
        <v/>
      </c>
      <c r="C6" s="26">
        <f>ROUNDUP((Модель!B6+Модель!B24)/(A6*C5),0)</f>
        <v/>
      </c>
      <c r="D6" s="26">
        <f>ROUNDUP((Модель!B6+Модель!B24)/(A6*D5),0)</f>
        <v/>
      </c>
      <c r="E6" s="26">
        <f>ROUNDUP((Модель!B6+Модель!B24)/(A6*E5),0)</f>
        <v/>
      </c>
      <c r="F6" s="26">
        <f>ROUNDUP((Модель!B6+Модель!B24)/(A6*F5),0)</f>
        <v/>
      </c>
      <c r="G6" s="26">
        <f>ROUNDUP((Модель!B6+Модель!B24)/(A6*G5),0)</f>
        <v/>
      </c>
    </row>
    <row r="7">
      <c r="A7" s="25" t="n">
        <v>70</v>
      </c>
      <c r="B7" s="26">
        <f>ROUNDUP((Модель!B6+Модель!B24)/(A7*B5),0)</f>
        <v/>
      </c>
      <c r="C7" s="26">
        <f>ROUNDUP((Модель!B6+Модель!B24)/(A7*C5),0)</f>
        <v/>
      </c>
      <c r="D7" s="26">
        <f>ROUNDUP((Модель!B6+Модель!B24)/(A7*D5),0)</f>
        <v/>
      </c>
      <c r="E7" s="26">
        <f>ROUNDUP((Модель!B6+Модель!B24)/(A7*E5),0)</f>
        <v/>
      </c>
      <c r="F7" s="26">
        <f>ROUNDUP((Модель!B6+Модель!B24)/(A7*F5),0)</f>
        <v/>
      </c>
      <c r="G7" s="26">
        <f>ROUNDUP((Модель!B6+Модель!B24)/(A7*G5),0)</f>
        <v/>
      </c>
    </row>
    <row r="8">
      <c r="A8" s="25" t="n">
        <v>90</v>
      </c>
      <c r="B8" s="26">
        <f>ROUNDUP((Модель!B6+Модель!B24)/(A8*B5),0)</f>
        <v/>
      </c>
      <c r="C8" s="26">
        <f>ROUNDUP((Модель!B6+Модель!B24)/(A8*C5),0)</f>
        <v/>
      </c>
      <c r="D8" s="26">
        <f>ROUNDUP((Модель!B6+Модель!B24)/(A8*D5),0)</f>
        <v/>
      </c>
      <c r="E8" s="26">
        <f>ROUNDUP((Модель!B6+Модель!B24)/(A8*E5),0)</f>
        <v/>
      </c>
      <c r="F8" s="26">
        <f>ROUNDUP((Модель!B6+Модель!B24)/(A8*F5),0)</f>
        <v/>
      </c>
      <c r="G8" s="26">
        <f>ROUNDUP((Модель!B6+Модель!B24)/(A8*G5),0)</f>
        <v/>
      </c>
    </row>
    <row r="9">
      <c r="A9" s="25" t="n">
        <v>120</v>
      </c>
      <c r="B9" s="26">
        <f>ROUNDUP((Модель!B6+Модель!B24)/(A9*B5),0)</f>
        <v/>
      </c>
      <c r="C9" s="26">
        <f>ROUNDUP((Модель!B6+Модель!B24)/(A9*C5),0)</f>
        <v/>
      </c>
      <c r="D9" s="26">
        <f>ROUNDUP((Модель!B6+Модель!B24)/(A9*D5),0)</f>
        <v/>
      </c>
      <c r="E9" s="26">
        <f>ROUNDUP((Модель!B6+Модель!B24)/(A9*E5),0)</f>
        <v/>
      </c>
      <c r="F9" s="26">
        <f>ROUNDUP((Модель!B6+Модель!B24)/(A9*F5),0)</f>
        <v/>
      </c>
      <c r="G9" s="26">
        <f>ROUNDUP((Модель!B6+Модель!B24)/(A9*G5),0)</f>
        <v/>
      </c>
    </row>
    <row r="10">
      <c r="A10" s="25" t="n">
        <v>150</v>
      </c>
      <c r="B10" s="26">
        <f>ROUNDUP((Модель!B6+Модель!B24)/(A10*B5),0)</f>
        <v/>
      </c>
      <c r="C10" s="26">
        <f>ROUNDUP((Модель!B6+Модель!B24)/(A10*C5),0)</f>
        <v/>
      </c>
      <c r="D10" s="26">
        <f>ROUNDUP((Модель!B6+Модель!B24)/(A10*D5),0)</f>
        <v/>
      </c>
      <c r="E10" s="26">
        <f>ROUNDUP((Модель!B6+Модель!B24)/(A10*E5),0)</f>
        <v/>
      </c>
      <c r="F10" s="26">
        <f>ROUNDUP((Модель!B6+Модель!B24)/(A10*F5),0)</f>
        <v/>
      </c>
      <c r="G10" s="26">
        <f>ROUNDUP((Модель!B6+Модель!B24)/(A10*G5),0)</f>
        <v/>
      </c>
    </row>
    <row r="11">
      <c r="A11" s="25" t="n">
        <v>200</v>
      </c>
      <c r="B11" s="26">
        <f>ROUNDUP((Модель!B6+Модель!B24)/(A11*B5),0)</f>
        <v/>
      </c>
      <c r="C11" s="26">
        <f>ROUNDUP((Модель!B6+Модель!B24)/(A11*C5),0)</f>
        <v/>
      </c>
      <c r="D11" s="26">
        <f>ROUNDUP((Модель!B6+Модель!B24)/(A11*D5),0)</f>
        <v/>
      </c>
      <c r="E11" s="26">
        <f>ROUNDUP((Модель!B6+Модель!B24)/(A11*E5),0)</f>
        <v/>
      </c>
      <c r="F11" s="26">
        <f>ROUNDUP((Модель!B6+Модель!B24)/(A11*F5),0)</f>
        <v/>
      </c>
      <c r="G11" s="26">
        <f>ROUNDUP((Модель!B6+Модель!B24)/(A11*G5),0)</f>
        <v/>
      </c>
    </row>
    <row r="14">
      <c r="A14" s="3" t="inlineStr">
        <is>
          <t>B. Оценка спроса ОАЭ (шт/мес) при разных продажах в США и коэффициенте</t>
        </is>
      </c>
      <c r="B14" s="4" t="n"/>
      <c r="C14" s="4" t="n"/>
      <c r="D14" s="4" t="n"/>
      <c r="E14" s="4" t="n"/>
      <c r="F14" s="4" t="n"/>
      <c r="G14" s="4" t="n"/>
    </row>
    <row r="15">
      <c r="A15" s="5" t="inlineStr">
        <is>
          <t>Продажи США, шт/мес \ ÷K →</t>
        </is>
      </c>
      <c r="B15" s="27" t="n">
        <v>20</v>
      </c>
      <c r="C15" s="27" t="n">
        <v>30</v>
      </c>
      <c r="D15" s="27" t="n">
        <v>40</v>
      </c>
      <c r="E15" s="27" t="n">
        <v>60</v>
      </c>
      <c r="F15" s="27" t="n">
        <v>80</v>
      </c>
      <c r="G15" s="27" t="n">
        <v>100</v>
      </c>
    </row>
    <row r="16">
      <c r="A16" s="28" t="n">
        <v>1000</v>
      </c>
      <c r="B16" s="26">
        <f>ROUND(A16/B15,0)</f>
        <v/>
      </c>
      <c r="C16" s="26">
        <f>ROUND(A16/C15,0)</f>
        <v/>
      </c>
      <c r="D16" s="26">
        <f>ROUND(A16/D15,0)</f>
        <v/>
      </c>
      <c r="E16" s="26">
        <f>ROUND(A16/E15,0)</f>
        <v/>
      </c>
      <c r="F16" s="26">
        <f>ROUND(A16/F15,0)</f>
        <v/>
      </c>
      <c r="G16" s="26">
        <f>ROUND(A16/G15,0)</f>
        <v/>
      </c>
    </row>
    <row r="17">
      <c r="A17" s="28" t="n">
        <v>2000</v>
      </c>
      <c r="B17" s="26">
        <f>ROUND(A17/B15,0)</f>
        <v/>
      </c>
      <c r="C17" s="26">
        <f>ROUND(A17/C15,0)</f>
        <v/>
      </c>
      <c r="D17" s="26">
        <f>ROUND(A17/D15,0)</f>
        <v/>
      </c>
      <c r="E17" s="26">
        <f>ROUND(A17/E15,0)</f>
        <v/>
      </c>
      <c r="F17" s="26">
        <f>ROUND(A17/F15,0)</f>
        <v/>
      </c>
      <c r="G17" s="26">
        <f>ROUND(A17/G15,0)</f>
        <v/>
      </c>
    </row>
    <row r="18">
      <c r="A18" s="28" t="n">
        <v>3000</v>
      </c>
      <c r="B18" s="26">
        <f>ROUND(A18/B15,0)</f>
        <v/>
      </c>
      <c r="C18" s="26">
        <f>ROUND(A18/C15,0)</f>
        <v/>
      </c>
      <c r="D18" s="26">
        <f>ROUND(A18/D15,0)</f>
        <v/>
      </c>
      <c r="E18" s="26">
        <f>ROUND(A18/E15,0)</f>
        <v/>
      </c>
      <c r="F18" s="26">
        <f>ROUND(A18/F15,0)</f>
        <v/>
      </c>
      <c r="G18" s="26">
        <f>ROUND(A18/G15,0)</f>
        <v/>
      </c>
    </row>
    <row r="19">
      <c r="A19" s="28" t="n">
        <v>5000</v>
      </c>
      <c r="B19" s="26">
        <f>ROUND(A19/B15,0)</f>
        <v/>
      </c>
      <c r="C19" s="26">
        <f>ROUND(A19/C15,0)</f>
        <v/>
      </c>
      <c r="D19" s="26">
        <f>ROUND(A19/D15,0)</f>
        <v/>
      </c>
      <c r="E19" s="26">
        <f>ROUND(A19/E15,0)</f>
        <v/>
      </c>
      <c r="F19" s="26">
        <f>ROUND(A19/F15,0)</f>
        <v/>
      </c>
      <c r="G19" s="26">
        <f>ROUND(A19/G15,0)</f>
        <v/>
      </c>
    </row>
    <row r="20">
      <c r="A20" s="28" t="n">
        <v>8000</v>
      </c>
      <c r="B20" s="26">
        <f>ROUND(A20/B15,0)</f>
        <v/>
      </c>
      <c r="C20" s="26">
        <f>ROUND(A20/C15,0)</f>
        <v/>
      </c>
      <c r="D20" s="26">
        <f>ROUND(A20/D15,0)</f>
        <v/>
      </c>
      <c r="E20" s="26">
        <f>ROUND(A20/E15,0)</f>
        <v/>
      </c>
      <c r="F20" s="26">
        <f>ROUND(A20/F15,0)</f>
        <v/>
      </c>
      <c r="G20" s="26">
        <f>ROUND(A20/G15,0)</f>
        <v/>
      </c>
    </row>
    <row r="21">
      <c r="A21" s="28" t="n">
        <v>10000</v>
      </c>
      <c r="B21" s="26">
        <f>ROUND(A21/B15,0)</f>
        <v/>
      </c>
      <c r="C21" s="26">
        <f>ROUND(A21/C15,0)</f>
        <v/>
      </c>
      <c r="D21" s="26">
        <f>ROUND(A21/D15,0)</f>
        <v/>
      </c>
      <c r="E21" s="26">
        <f>ROUND(A21/E15,0)</f>
        <v/>
      </c>
      <c r="F21" s="26">
        <f>ROUND(A21/F15,0)</f>
        <v/>
      </c>
      <c r="G21" s="26">
        <f>ROUND(A21/G15,0)</f>
        <v/>
      </c>
    </row>
    <row r="23">
      <c r="A23" s="2" t="inlineStr">
        <is>
          <t>Сравни числа из таблицы B (спрос всей ниши в ОАЭ) с «Юнитов/мес для прибыли» из таблицы A. Если нужное число юнитов больше спроса ниши — цель нереальна.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5" customWidth="1" min="2" max="2"/>
    <col width="13" customWidth="1" min="3" max="3"/>
    <col width="11" customWidth="1" min="4" max="4"/>
    <col width="12" customWidth="1" min="5" max="5"/>
    <col width="15" customWidth="1" min="6" max="6"/>
    <col width="14" customWidth="1" min="7" max="7"/>
    <col width="22" customWidth="1" min="8" max="8"/>
    <col width="10" customWidth="1" min="9" max="9"/>
    <col width="10" customWidth="1" min="10" max="10"/>
    <col width="48" customWidth="1" min="11" max="11"/>
    <col width="9" customWidth="1" min="12" max="12"/>
  </cols>
  <sheetData>
    <row r="1" ht="44" customHeight="1">
      <c r="A1" s="17" t="inlineStr">
        <is>
          <t>Ниша</t>
        </is>
      </c>
      <c r="B1" s="17" t="inlineStr">
        <is>
          <t>Пример/бренд</t>
        </is>
      </c>
      <c r="C1" s="17" t="inlineStr">
        <is>
          <t>ASIN</t>
        </is>
      </c>
      <c r="D1" s="17" t="inlineStr">
        <is>
          <t>Цена US $</t>
        </is>
      </c>
      <c r="E1" s="17" t="inlineStr">
        <is>
          <t>Цена US AED</t>
        </is>
      </c>
      <c r="F1" s="17" t="inlineStr">
        <is>
          <t>Продажи US шт/мес</t>
        </is>
      </c>
      <c r="G1" s="17" t="inlineStr">
        <is>
          <t>Оценка ОАЭ ÷40</t>
        </is>
      </c>
      <c r="H1" s="17" t="inlineStr">
        <is>
          <t>Регистрация ОАЭ</t>
        </is>
      </c>
      <c r="I1" s="17" t="inlineStr">
        <is>
          <t>Барьер</t>
        </is>
      </c>
      <c r="J1" s="17" t="inlineStr">
        <is>
          <t>Данные</t>
        </is>
      </c>
      <c r="K1" s="17" t="inlineStr">
        <is>
          <t>Комментарий</t>
        </is>
      </c>
      <c r="L1" s="17" t="inlineStr">
        <is>
          <t>Keepa</t>
        </is>
      </c>
    </row>
    <row r="2">
      <c r="A2" s="18" t="inlineStr">
        <is>
          <t>▸ Массаж и восстановление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3">
      <c r="A3" s="19" t="inlineStr">
        <is>
          <t>Массажный пистолет (percussion)</t>
        </is>
      </c>
      <c r="B3" s="19" t="inlineStr">
        <is>
          <t>TOLOCO/RENPHO</t>
        </is>
      </c>
      <c r="C3" s="20" t="inlineStr">
        <is>
          <t>B089KJTW4V</t>
        </is>
      </c>
      <c r="D3" s="29" t="n">
        <v>59.99</v>
      </c>
      <c r="E3" s="30">
        <f>D3*3.6725</f>
        <v/>
      </c>
      <c r="F3" s="26" t="n">
        <v>4000</v>
      </c>
      <c r="G3" s="26">
        <f>ROUND(F3/40,0)</f>
        <v/>
      </c>
      <c r="H3" s="19" t="inlineStr">
        <is>
          <t>🟡 электроника (G-mark)</t>
        </is>
      </c>
      <c r="I3" s="31" t="inlineStr">
        <is>
          <t>Средний</t>
        </is>
      </c>
      <c r="J3" s="32" t="inlineStr">
        <is>
          <t>Keepa</t>
        </is>
      </c>
      <c r="K3" s="33" t="inlineStr">
        <is>
          <t>РЕАЛЬНО (Keepa): TOLOCO $60/6k мес, OLsky/RENPHO $25-50/3k, TheraGun премиум. Конкурентно, но полно мелких брендов.</t>
        </is>
      </c>
      <c r="L3" s="20" t="inlineStr">
        <is>
          <t>открыть</t>
        </is>
      </c>
    </row>
    <row r="4">
      <c r="A4" s="19" t="inlineStr">
        <is>
          <t>Массажёр для шеи (шиацу)</t>
        </is>
      </c>
      <c r="B4" s="19" t="inlineStr"/>
      <c r="C4" s="19" t="n"/>
      <c r="D4" s="29" t="n">
        <v>40</v>
      </c>
      <c r="E4" s="30">
        <f>D4*3.6725</f>
        <v/>
      </c>
      <c r="F4" s="22" t="n">
        <v>2500</v>
      </c>
      <c r="G4" s="26">
        <f>ROUND(F4/40,0)</f>
        <v/>
      </c>
      <c r="H4" s="19" t="inlineStr">
        <is>
          <t>🟡 электроника (G-mark)</t>
        </is>
      </c>
      <c r="I4" s="31" t="inlineStr">
        <is>
          <t>Средний</t>
        </is>
      </c>
      <c r="J4" s="21" t="inlineStr">
        <is>
          <t>оценка</t>
        </is>
      </c>
      <c r="K4" s="33" t="inlineStr">
        <is>
          <t>Электроника с подогревом. Офисная/сидячая аудитория ОАЭ.</t>
        </is>
      </c>
      <c r="L4" s="19" t="n"/>
    </row>
    <row r="5">
      <c r="A5" s="19" t="inlineStr">
        <is>
          <t>Массажёр для ног</t>
        </is>
      </c>
      <c r="B5" s="19" t="inlineStr"/>
      <c r="C5" s="19" t="n"/>
      <c r="D5" s="29" t="n">
        <v>70</v>
      </c>
      <c r="E5" s="30">
        <f>D5*3.6725</f>
        <v/>
      </c>
      <c r="F5" s="22" t="n">
        <v>1500</v>
      </c>
      <c r="G5" s="26">
        <f>ROUND(F5/40,0)</f>
        <v/>
      </c>
      <c r="H5" s="19" t="inlineStr">
        <is>
          <t>🟡 электроника (G-mark)</t>
        </is>
      </c>
      <c r="I5" s="31" t="inlineStr">
        <is>
          <t>Средний</t>
        </is>
      </c>
      <c r="J5" s="21" t="inlineStr">
        <is>
          <t>оценка</t>
        </is>
      </c>
      <c r="K5" s="33" t="inlineStr">
        <is>
          <t>Высокий чек, габарит → дороже FBA/логистика.</t>
        </is>
      </c>
      <c r="L5" s="19" t="n"/>
    </row>
    <row r="6">
      <c r="A6" s="19" t="inlineStr">
        <is>
          <t>Массажная подушка (шиацу)</t>
        </is>
      </c>
      <c r="B6" s="19" t="inlineStr"/>
      <c r="C6" s="19" t="n"/>
      <c r="D6" s="29" t="n">
        <v>45</v>
      </c>
      <c r="E6" s="30">
        <f>D6*3.6725</f>
        <v/>
      </c>
      <c r="F6" s="22" t="n">
        <v>2000</v>
      </c>
      <c r="G6" s="26">
        <f>ROUND(F6/40,0)</f>
        <v/>
      </c>
      <c r="H6" s="19" t="inlineStr">
        <is>
          <t>🟡 электроника (G-mark)</t>
        </is>
      </c>
      <c r="I6" s="31" t="inlineStr">
        <is>
          <t>Средний</t>
        </is>
      </c>
      <c r="J6" s="21" t="inlineStr">
        <is>
          <t>оценка</t>
        </is>
      </c>
      <c r="K6" s="33" t="inlineStr">
        <is>
          <t>Электроника с прогревом; дом/офис/авто.</t>
        </is>
      </c>
      <c r="L6" s="19" t="n"/>
    </row>
    <row r="7">
      <c r="A7" s="19" t="inlineStr">
        <is>
          <t>Массажный ролик (foam roller) / ролик для йоги</t>
        </is>
      </c>
      <c r="B7" s="19" t="inlineStr"/>
      <c r="C7" s="19" t="n"/>
      <c r="D7" s="29" t="n">
        <v>25</v>
      </c>
      <c r="E7" s="30">
        <f>D7*3.6725</f>
        <v/>
      </c>
      <c r="F7" s="22" t="n">
        <v>5000</v>
      </c>
      <c r="G7" s="26">
        <f>ROUND(F7/40,0)</f>
        <v/>
      </c>
      <c r="H7" s="19" t="inlineStr">
        <is>
          <t>🟢 обычный товар</t>
        </is>
      </c>
      <c r="I7" s="32" t="inlineStr">
        <is>
          <t>Низкий</t>
        </is>
      </c>
      <c r="J7" s="21" t="inlineStr">
        <is>
          <t>оценка</t>
        </is>
      </c>
      <c r="K7" s="33" t="inlineStr">
        <is>
          <t>Не электро, лёгкий. Йога/восстановление/пляж/дом.</t>
        </is>
      </c>
      <c r="L7" s="19" t="n"/>
    </row>
    <row r="8">
      <c r="A8" s="19" t="inlineStr">
        <is>
          <t>Массажный мяч</t>
        </is>
      </c>
      <c r="B8" s="19" t="inlineStr"/>
      <c r="C8" s="19" t="n"/>
      <c r="D8" s="29" t="n">
        <v>13</v>
      </c>
      <c r="E8" s="30">
        <f>D8*3.6725</f>
        <v/>
      </c>
      <c r="F8" s="22" t="n">
        <v>3000</v>
      </c>
      <c r="G8" s="26">
        <f>ROUND(F8/40,0)</f>
        <v/>
      </c>
      <c r="H8" s="19" t="inlineStr">
        <is>
          <t>🟢 обычный товар</t>
        </is>
      </c>
      <c r="I8" s="32" t="inlineStr">
        <is>
          <t>Низкий</t>
        </is>
      </c>
      <c r="J8" s="21" t="inlineStr">
        <is>
          <t>оценка</t>
        </is>
      </c>
      <c r="K8" s="33" t="inlineStr">
        <is>
          <t>Дёшево, расходка, низкий чек — бери в стек к ролику.</t>
        </is>
      </c>
      <c r="L8" s="19" t="n"/>
    </row>
    <row r="9">
      <c r="A9" s="19" t="inlineStr">
        <is>
          <t>Массажёр для глаз (с подогревом)</t>
        </is>
      </c>
      <c r="B9" s="19" t="inlineStr"/>
      <c r="C9" s="19" t="n"/>
      <c r="D9" s="29" t="n">
        <v>45</v>
      </c>
      <c r="E9" s="30">
        <f>D9*3.6725</f>
        <v/>
      </c>
      <c r="F9" s="22" t="n">
        <v>2500</v>
      </c>
      <c r="G9" s="26">
        <f>ROUND(F9/40,0)</f>
        <v/>
      </c>
      <c r="H9" s="19" t="inlineStr">
        <is>
          <t>🟡 электроника (G-mark)</t>
        </is>
      </c>
      <c r="I9" s="31" t="inlineStr">
        <is>
          <t>Средний</t>
        </is>
      </c>
      <c r="J9" s="21" t="inlineStr">
        <is>
          <t>оценка</t>
        </is>
      </c>
      <c r="K9" s="33" t="inlineStr">
        <is>
          <t>Аналог: релакс/сон/усталость глаз (экраны). Электроника.</t>
        </is>
      </c>
      <c r="L9" s="19" t="n"/>
    </row>
    <row r="10">
      <c r="A10" s="19" t="inlineStr">
        <is>
          <t>Массажёр головы / скальпа</t>
        </is>
      </c>
      <c r="B10" s="19" t="inlineStr"/>
      <c r="C10" s="19" t="n"/>
      <c r="D10" s="29" t="n">
        <v>25</v>
      </c>
      <c r="E10" s="30">
        <f>D10*3.6725</f>
        <v/>
      </c>
      <c r="F10" s="22" t="n">
        <v>2000</v>
      </c>
      <c r="G10" s="26">
        <f>ROUND(F10/40,0)</f>
        <v/>
      </c>
      <c r="H10" s="19" t="inlineStr">
        <is>
          <t>🟡 электроника (G-mark)</t>
        </is>
      </c>
      <c r="I10" s="31" t="inlineStr">
        <is>
          <t>Средний</t>
        </is>
      </c>
      <c r="J10" s="21" t="inlineStr">
        <is>
          <t>оценка</t>
        </is>
      </c>
      <c r="K10" s="33" t="inlineStr">
        <is>
          <t>Аналог: антистресс, вирусится. Электроника (или ручной 🟢).</t>
        </is>
      </c>
      <c r="L10" s="19" t="n"/>
    </row>
    <row r="11">
      <c r="A11" s="19" t="inlineStr">
        <is>
          <t>EMS-миостимулятор (мышцы/abs)</t>
        </is>
      </c>
      <c r="B11" s="19" t="inlineStr"/>
      <c r="C11" s="19" t="n"/>
      <c r="D11" s="29" t="n">
        <v>30</v>
      </c>
      <c r="E11" s="30">
        <f>D11*3.6725</f>
        <v/>
      </c>
      <c r="F11" s="22" t="n">
        <v>2000</v>
      </c>
      <c r="G11" s="26">
        <f>ROUND(F11/40,0)</f>
        <v/>
      </c>
      <c r="H11" s="19" t="inlineStr">
        <is>
          <t>🟡 электроника (G-mark)</t>
        </is>
      </c>
      <c r="I11" s="31" t="inlineStr">
        <is>
          <t>Средний</t>
        </is>
      </c>
      <c r="J11" s="21" t="inlineStr">
        <is>
          <t>оценка</t>
        </is>
      </c>
      <c r="K11" s="33" t="inlineStr">
        <is>
          <t>Аналог: фитнес-восстановление. Без мед-claims → 🟡, иначе MOHAP.</t>
        </is>
      </c>
      <c r="L11" s="19" t="n"/>
    </row>
    <row r="12">
      <c r="A12" s="19" t="inlineStr">
        <is>
          <t>Гуаша / скребок (нефрит/сталь)</t>
        </is>
      </c>
      <c r="B12" s="19" t="inlineStr"/>
      <c r="C12" s="19" t="n"/>
      <c r="D12" s="29" t="n">
        <v>12</v>
      </c>
      <c r="E12" s="30">
        <f>D12*3.6725</f>
        <v/>
      </c>
      <c r="F12" s="22" t="n">
        <v>3000</v>
      </c>
      <c r="G12" s="26">
        <f>ROUND(F12/40,0)</f>
        <v/>
      </c>
      <c r="H12" s="19" t="inlineStr">
        <is>
          <t>🟢 обычный товар</t>
        </is>
      </c>
      <c r="I12" s="32" t="inlineStr">
        <is>
          <t>Низкий</t>
        </is>
      </c>
      <c r="J12" s="21" t="inlineStr">
        <is>
          <t>оценка</t>
        </is>
      </c>
      <c r="K12" s="33" t="inlineStr">
        <is>
          <t>Аналог: уход/восстановление, лёгкий, дёшев. Косметика для тела.</t>
        </is>
      </c>
      <c r="L12" s="19" t="n"/>
    </row>
    <row r="13">
      <c r="A13" s="19" t="inlineStr">
        <is>
          <t>Ручной массажёр-крюк (trigger point)</t>
        </is>
      </c>
      <c r="B13" s="19" t="inlineStr"/>
      <c r="C13" s="19" t="n"/>
      <c r="D13" s="29" t="n">
        <v>20</v>
      </c>
      <c r="E13" s="30">
        <f>D13*3.6725</f>
        <v/>
      </c>
      <c r="F13" s="22" t="n">
        <v>2000</v>
      </c>
      <c r="G13" s="26">
        <f>ROUND(F13/40,0)</f>
        <v/>
      </c>
      <c r="H13" s="19" t="inlineStr">
        <is>
          <t>🟢 обычный товар</t>
        </is>
      </c>
      <c r="I13" s="32" t="inlineStr">
        <is>
          <t>Низкий</t>
        </is>
      </c>
      <c r="J13" s="21" t="inlineStr">
        <is>
          <t>оценка</t>
        </is>
      </c>
      <c r="K13" s="33" t="inlineStr">
        <is>
          <t>Аналог: не электро, лёгкий, самомассаж спины/шеи.</t>
        </is>
      </c>
      <c r="L13" s="19" t="n"/>
    </row>
    <row r="14">
      <c r="A14" s="18" t="inlineStr">
        <is>
          <t>▸ Ортопедия и поддержка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>
      <c r="A15" s="19" t="inlineStr">
        <is>
          <t>Фиксатор запястья / карпал-туннель</t>
        </is>
      </c>
      <c r="B15" s="19" t="inlineStr">
        <is>
          <t>FREETOO</t>
        </is>
      </c>
      <c r="C15" s="20" t="inlineStr">
        <is>
          <t>B0DNFTL63F</t>
        </is>
      </c>
      <c r="D15" s="29" t="n">
        <v>19.95</v>
      </c>
      <c r="E15" s="30">
        <f>D15*3.6725</f>
        <v/>
      </c>
      <c r="F15" s="26" t="n">
        <v>3000</v>
      </c>
      <c r="G15" s="26">
        <f>ROUND(F15/40,0)</f>
        <v/>
      </c>
      <c r="H15" s="19" t="inlineStr">
        <is>
          <t>🟢 обычный товар</t>
        </is>
      </c>
      <c r="I15" s="32" t="inlineStr">
        <is>
          <t>Низкий</t>
        </is>
      </c>
      <c r="J15" s="32" t="inlineStr">
        <is>
          <t>Keepa</t>
        </is>
      </c>
      <c r="K15" s="33" t="inlineStr">
        <is>
          <t>РЕАЛЬНО (Keepa): FREETOO 3000/мес, 5704 отзыва, 1 оффер. Лёгкий, private-label легко.</t>
        </is>
      </c>
      <c r="L15" s="20" t="inlineStr">
        <is>
          <t>открыть</t>
        </is>
      </c>
    </row>
    <row r="16">
      <c r="A16" s="19" t="inlineStr">
        <is>
          <t>Наколенник</t>
        </is>
      </c>
      <c r="B16" s="19" t="inlineStr"/>
      <c r="C16" s="19" t="n"/>
      <c r="D16" s="29" t="n">
        <v>20</v>
      </c>
      <c r="E16" s="30">
        <f>D16*3.6725</f>
        <v/>
      </c>
      <c r="F16" s="22" t="n">
        <v>5000</v>
      </c>
      <c r="G16" s="26">
        <f>ROUND(F16/40,0)</f>
        <v/>
      </c>
      <c r="H16" s="19" t="inlineStr">
        <is>
          <t>🟢 обычный товар</t>
        </is>
      </c>
      <c r="I16" s="32" t="inlineStr">
        <is>
          <t>Низкий</t>
        </is>
      </c>
      <c r="J16" s="21" t="inlineStr">
        <is>
          <t>оценка</t>
        </is>
      </c>
      <c r="K16" s="33" t="inlineStr">
        <is>
          <t>OTC-ортезы MEA $119→125 млн, сконцентрированы в GCC. Много SKU по размерам.</t>
        </is>
      </c>
      <c r="L16" s="19" t="n"/>
    </row>
    <row r="17">
      <c r="A17" s="19" t="inlineStr">
        <is>
          <t>Фиксатор голеностопа</t>
        </is>
      </c>
      <c r="B17" s="19" t="inlineStr"/>
      <c r="C17" s="19" t="n"/>
      <c r="D17" s="29" t="n">
        <v>18</v>
      </c>
      <c r="E17" s="30">
        <f>D17*3.6725</f>
        <v/>
      </c>
      <c r="F17" s="22" t="n">
        <v>3000</v>
      </c>
      <c r="G17" s="26">
        <f>ROUND(F17/40,0)</f>
        <v/>
      </c>
      <c r="H17" s="19" t="inlineStr">
        <is>
          <t>🟢 обычный товар</t>
        </is>
      </c>
      <c r="I17" s="32" t="inlineStr">
        <is>
          <t>Низкий</t>
        </is>
      </c>
      <c r="J17" s="21" t="inlineStr">
        <is>
          <t>оценка</t>
        </is>
      </c>
      <c r="K17" s="33" t="inlineStr">
        <is>
          <t>Спорт/восстановление, лёгкий, дёшев в логистике.</t>
        </is>
      </c>
      <c r="L17" s="19" t="n"/>
    </row>
    <row r="18">
      <c r="A18" s="19" t="inlineStr">
        <is>
          <t>Поясничный пояс / поддержка спины</t>
        </is>
      </c>
      <c r="B18" s="19" t="inlineStr"/>
      <c r="C18" s="19" t="n"/>
      <c r="D18" s="29" t="n">
        <v>30</v>
      </c>
      <c r="E18" s="30">
        <f>D18*3.6725</f>
        <v/>
      </c>
      <c r="F18" s="22" t="n">
        <v>3000</v>
      </c>
      <c r="G18" s="26">
        <f>ROUND(F18/40,0)</f>
        <v/>
      </c>
      <c r="H18" s="19" t="inlineStr">
        <is>
          <t>🟢 обычный товар</t>
        </is>
      </c>
      <c r="I18" s="32" t="inlineStr">
        <is>
          <t>Низкий</t>
        </is>
      </c>
      <c r="J18" s="21" t="inlineStr">
        <is>
          <t>оценка</t>
        </is>
      </c>
      <c r="K18" s="33" t="inlineStr">
        <is>
          <t>Офисная/сидячая аудитория ОАЭ.</t>
        </is>
      </c>
      <c r="L18" s="19" t="n"/>
    </row>
    <row r="19">
      <c r="A19" s="19" t="inlineStr">
        <is>
          <t>Корректор осанки</t>
        </is>
      </c>
      <c r="B19" s="19" t="inlineStr"/>
      <c r="C19" s="19" t="n"/>
      <c r="D19" s="29" t="n">
        <v>28</v>
      </c>
      <c r="E19" s="30">
        <f>D19*3.6725</f>
        <v/>
      </c>
      <c r="F19" s="22" t="n">
        <v>5000</v>
      </c>
      <c r="G19" s="26">
        <f>ROUND(F19/40,0)</f>
        <v/>
      </c>
      <c r="H19" s="19" t="inlineStr">
        <is>
          <t>🟢 обычный товар</t>
        </is>
      </c>
      <c r="I19" s="32" t="inlineStr">
        <is>
          <t>Низкий</t>
        </is>
      </c>
      <c r="J19" s="21" t="inlineStr">
        <is>
          <t>оценка</t>
        </is>
      </c>
      <c r="K19" s="33" t="inlineStr">
        <is>
          <t>★ Рынок $1.46 млрд, CAGR 8.7%, на noon.ae. Лёгкий, вирусится в соцсетях.</t>
        </is>
      </c>
      <c r="L19" s="19" t="n"/>
    </row>
    <row r="20">
      <c r="A20" s="19" t="inlineStr">
        <is>
          <t>Компрессионные носки (перелёты/стоя)</t>
        </is>
      </c>
      <c r="B20" s="19" t="inlineStr"/>
      <c r="C20" s="19" t="n"/>
      <c r="D20" s="29" t="n">
        <v>20</v>
      </c>
      <c r="E20" s="30">
        <f>D20*3.6725</f>
        <v/>
      </c>
      <c r="F20" s="22" t="n">
        <v>5000</v>
      </c>
      <c r="G20" s="26">
        <f>ROUND(F20/40,0)</f>
        <v/>
      </c>
      <c r="H20" s="19" t="inlineStr">
        <is>
          <t>🟢 обычный товар</t>
        </is>
      </c>
      <c r="I20" s="32" t="inlineStr">
        <is>
          <t>Низкий</t>
        </is>
      </c>
      <c r="J20" s="21" t="inlineStr">
        <is>
          <t>оценка</t>
        </is>
      </c>
      <c r="K20" s="33" t="inlineStr">
        <is>
          <t>Тревел/работа стоя/варикоз. Лёгкие, повторные покупки.</t>
        </is>
      </c>
      <c r="L20" s="19" t="n"/>
    </row>
    <row r="21">
      <c r="A21" s="19" t="inlineStr">
        <is>
          <t>Налокотник (elbow brace)</t>
        </is>
      </c>
      <c r="B21" s="19" t="inlineStr"/>
      <c r="C21" s="19" t="n"/>
      <c r="D21" s="29" t="n">
        <v>18</v>
      </c>
      <c r="E21" s="30">
        <f>D21*3.6725</f>
        <v/>
      </c>
      <c r="F21" s="22" t="n">
        <v>3000</v>
      </c>
      <c r="G21" s="26">
        <f>ROUND(F21/40,0)</f>
        <v/>
      </c>
      <c r="H21" s="19" t="inlineStr">
        <is>
          <t>🟢 обычный товар</t>
        </is>
      </c>
      <c r="I21" s="32" t="inlineStr">
        <is>
          <t>Низкий</t>
        </is>
      </c>
      <c r="J21" s="21" t="inlineStr">
        <is>
          <t>оценка</t>
        </is>
      </c>
      <c r="K21" s="33" t="inlineStr">
        <is>
          <t>Аналог: теннисный локоть/спорт. Много SKU по размерам.</t>
        </is>
      </c>
      <c r="L21" s="19" t="n"/>
    </row>
    <row r="22">
      <c r="A22" s="19" t="inlineStr">
        <is>
          <t>Бандаж большого пальца (thumb splint)</t>
        </is>
      </c>
      <c r="B22" s="19" t="inlineStr"/>
      <c r="C22" s="19" t="n"/>
      <c r="D22" s="29" t="n">
        <v>18</v>
      </c>
      <c r="E22" s="30">
        <f>D22*3.6725</f>
        <v/>
      </c>
      <c r="F22" s="22" t="n">
        <v>2000</v>
      </c>
      <c r="G22" s="26">
        <f>ROUND(F22/40,0)</f>
        <v/>
      </c>
      <c r="H22" s="19" t="inlineStr">
        <is>
          <t>🟢 обычный товар</t>
        </is>
      </c>
      <c r="I22" s="32" t="inlineStr">
        <is>
          <t>Низкий</t>
        </is>
      </c>
      <c r="J22" s="21" t="inlineStr">
        <is>
          <t>оценка</t>
        </is>
      </c>
      <c r="K22" s="33" t="inlineStr">
        <is>
          <t>Аналог фиксатора запястья: узкая ниша, мало конкуренции.</t>
        </is>
      </c>
      <c r="L22" s="19" t="n"/>
    </row>
    <row r="23">
      <c r="A23" s="19" t="inlineStr">
        <is>
          <t>Поддержка стопы / подпяточник (плантарный фасциит)</t>
        </is>
      </c>
      <c r="B23" s="19" t="inlineStr"/>
      <c r="C23" s="19" t="n"/>
      <c r="D23" s="29" t="n">
        <v>20</v>
      </c>
      <c r="E23" s="30">
        <f>D23*3.6725</f>
        <v/>
      </c>
      <c r="F23" s="22" t="n">
        <v>4000</v>
      </c>
      <c r="G23" s="26">
        <f>ROUND(F23/40,0)</f>
        <v/>
      </c>
      <c r="H23" s="19" t="inlineStr">
        <is>
          <t>🟢 обычный товар</t>
        </is>
      </c>
      <c r="I23" s="32" t="inlineStr">
        <is>
          <t>Низкий</t>
        </is>
      </c>
      <c r="J23" s="21" t="inlineStr">
        <is>
          <t>оценка</t>
        </is>
      </c>
      <c r="K23" s="33" t="inlineStr">
        <is>
          <t>Аналог: стельки/бандаж стопы, высокий повтор.</t>
        </is>
      </c>
      <c r="L23" s="19" t="n"/>
    </row>
    <row r="24">
      <c r="A24" s="19" t="inlineStr">
        <is>
          <t>Ремень на колено (patella strap)</t>
        </is>
      </c>
      <c r="B24" s="19" t="inlineStr"/>
      <c r="C24" s="19" t="n"/>
      <c r="D24" s="29" t="n">
        <v>16</v>
      </c>
      <c r="E24" s="30">
        <f>D24*3.6725</f>
        <v/>
      </c>
      <c r="F24" s="22" t="n">
        <v>3000</v>
      </c>
      <c r="G24" s="26">
        <f>ROUND(F24/40,0)</f>
        <v/>
      </c>
      <c r="H24" s="19" t="inlineStr">
        <is>
          <t>🟢 обычный товар</t>
        </is>
      </c>
      <c r="I24" s="32" t="inlineStr">
        <is>
          <t>Низкий</t>
        </is>
      </c>
      <c r="J24" s="21" t="inlineStr">
        <is>
          <t>оценка</t>
        </is>
      </c>
      <c r="K24" s="33" t="inlineStr">
        <is>
          <t>Аналог наколенника: бег/спорт, лёгкий, дёшев.</t>
        </is>
      </c>
      <c r="L24" s="19" t="n"/>
    </row>
    <row r="25">
      <c r="A25" s="19" t="inlineStr">
        <is>
          <t>Компрессионные рукава на икры (calf sleeves)</t>
        </is>
      </c>
      <c r="B25" s="19" t="inlineStr"/>
      <c r="C25" s="19" t="n"/>
      <c r="D25" s="29" t="n">
        <v>20</v>
      </c>
      <c r="E25" s="30">
        <f>D25*3.6725</f>
        <v/>
      </c>
      <c r="F25" s="22" t="n">
        <v>4000</v>
      </c>
      <c r="G25" s="26">
        <f>ROUND(F25/40,0)</f>
        <v/>
      </c>
      <c r="H25" s="19" t="inlineStr">
        <is>
          <t>🟢 обычный товар</t>
        </is>
      </c>
      <c r="I25" s="32" t="inlineStr">
        <is>
          <t>Низкий</t>
        </is>
      </c>
      <c r="J25" s="21" t="inlineStr">
        <is>
          <t>оценка</t>
        </is>
      </c>
      <c r="K25" s="33" t="inlineStr">
        <is>
          <t>Аналог компрессионных носков: спорт/тревел.</t>
        </is>
      </c>
      <c r="L25" s="19" t="n"/>
    </row>
    <row r="26">
      <c r="A26" s="19" t="inlineStr">
        <is>
          <t>Кинезио-тейп</t>
        </is>
      </c>
      <c r="B26" s="19" t="inlineStr"/>
      <c r="C26" s="19" t="n"/>
      <c r="D26" s="29" t="n">
        <v>12</v>
      </c>
      <c r="E26" s="30">
        <f>D26*3.6725</f>
        <v/>
      </c>
      <c r="F26" s="22" t="n">
        <v>4000</v>
      </c>
      <c r="G26" s="26">
        <f>ROUND(F26/40,0)</f>
        <v/>
      </c>
      <c r="H26" s="19" t="inlineStr">
        <is>
          <t>🟢 обычный товар</t>
        </is>
      </c>
      <c r="I26" s="32" t="inlineStr">
        <is>
          <t>Низкий</t>
        </is>
      </c>
      <c r="J26" s="21" t="inlineStr">
        <is>
          <t>оценка</t>
        </is>
      </c>
      <c r="K26" s="33" t="inlineStr">
        <is>
          <t>Аналог: расходка, высокий повтор, лёгкий. Низкий чек — в стек.</t>
        </is>
      </c>
      <c r="L26" s="19" t="n"/>
    </row>
    <row r="27">
      <c r="A27" s="18" t="inlineStr">
        <is>
          <t>▸ Сон и комфорт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</row>
    <row r="28">
      <c r="A28" s="19" t="inlineStr">
        <is>
          <t>Маска для сна</t>
        </is>
      </c>
      <c r="B28" s="19" t="inlineStr"/>
      <c r="C28" s="19" t="n"/>
      <c r="D28" s="29" t="n">
        <v>15</v>
      </c>
      <c r="E28" s="30">
        <f>D28*3.6725</f>
        <v/>
      </c>
      <c r="F28" s="22" t="n">
        <v>8000</v>
      </c>
      <c r="G28" s="26">
        <f>ROUND(F28/40,0)</f>
        <v/>
      </c>
      <c r="H28" s="19" t="inlineStr">
        <is>
          <t>🟢 обычный товар</t>
        </is>
      </c>
      <c r="I28" s="32" t="inlineStr">
        <is>
          <t>Низкий</t>
        </is>
      </c>
      <c r="J28" s="21" t="inlineStr">
        <is>
          <t>оценка</t>
        </is>
      </c>
      <c r="K28" s="33" t="inlineStr">
        <is>
          <t>★ Массовый спрос, лёгкая, дешёвая логистика — хороший вход, но низкий чек.</t>
        </is>
      </c>
      <c r="L28" s="19" t="n"/>
    </row>
    <row r="29">
      <c r="A29" s="19" t="inlineStr">
        <is>
          <t>Подушка между ног</t>
        </is>
      </c>
      <c r="B29" s="19" t="inlineStr"/>
      <c r="C29" s="19" t="n"/>
      <c r="D29" s="29" t="n">
        <v>30</v>
      </c>
      <c r="E29" s="30">
        <f>D29*3.6725</f>
        <v/>
      </c>
      <c r="F29" s="22" t="n">
        <v>5000</v>
      </c>
      <c r="G29" s="26">
        <f>ROUND(F29/40,0)</f>
        <v/>
      </c>
      <c r="H29" s="19" t="inlineStr">
        <is>
          <t>🟢 обычный товар</t>
        </is>
      </c>
      <c r="I29" s="32" t="inlineStr">
        <is>
          <t>Низкий</t>
        </is>
      </c>
      <c r="J29" s="21" t="inlineStr">
        <is>
          <t>оценка</t>
        </is>
      </c>
      <c r="K29" s="33" t="inlineStr">
        <is>
          <t>Ортопедия сна; объёмный вес → закладывай FBA.</t>
        </is>
      </c>
      <c r="L29" s="19" t="n"/>
    </row>
    <row r="30">
      <c r="A30" s="19" t="inlineStr">
        <is>
          <t>Клиновидная подушка (wedge)</t>
        </is>
      </c>
      <c r="B30" s="19" t="inlineStr"/>
      <c r="C30" s="19" t="n"/>
      <c r="D30" s="29" t="n">
        <v>40</v>
      </c>
      <c r="E30" s="30">
        <f>D30*3.6725</f>
        <v/>
      </c>
      <c r="F30" s="22" t="n">
        <v>4000</v>
      </c>
      <c r="G30" s="26">
        <f>ROUND(F30/40,0)</f>
        <v/>
      </c>
      <c r="H30" s="19" t="inlineStr">
        <is>
          <t>🟢 обычный товар</t>
        </is>
      </c>
      <c r="I30" s="31" t="inlineStr">
        <is>
          <t>Средний</t>
        </is>
      </c>
      <c r="J30" s="21" t="inlineStr">
        <is>
          <t>оценка</t>
        </is>
      </c>
      <c r="K30" s="33" t="inlineStr">
        <is>
          <t>Объёмная → дорогой FBA/логистика, но высокий чек.</t>
        </is>
      </c>
      <c r="L30" s="19" t="n"/>
    </row>
    <row r="31">
      <c r="A31" s="19" t="inlineStr">
        <is>
          <t>Утяжелённое одеяло</t>
        </is>
      </c>
      <c r="B31" s="19" t="inlineStr"/>
      <c r="C31" s="19" t="n"/>
      <c r="D31" s="29" t="n">
        <v>50</v>
      </c>
      <c r="E31" s="30">
        <f>D31*3.6725</f>
        <v/>
      </c>
      <c r="F31" s="22" t="n">
        <v>5000</v>
      </c>
      <c r="G31" s="26">
        <f>ROUND(F31/40,0)</f>
        <v/>
      </c>
      <c r="H31" s="19" t="inlineStr">
        <is>
          <t>🟢 обычный товар</t>
        </is>
      </c>
      <c r="I31" s="31" t="inlineStr">
        <is>
          <t>Средний</t>
        </is>
      </c>
      <c r="J31" s="21" t="inlineStr">
        <is>
          <t>оценка</t>
        </is>
      </c>
      <c r="K31" s="33" t="inlineStr">
        <is>
          <t>Тяжёлое → дорогая логистика; высокий чек компенсирует.</t>
        </is>
      </c>
      <c r="L31" s="19" t="n"/>
    </row>
    <row r="32">
      <c r="A32" s="19" t="inlineStr">
        <is>
          <t>Устройство белого шума</t>
        </is>
      </c>
      <c r="B32" s="19" t="inlineStr"/>
      <c r="C32" s="19" t="n"/>
      <c r="D32" s="29" t="n">
        <v>45</v>
      </c>
      <c r="E32" s="30">
        <f>D32*3.6725</f>
        <v/>
      </c>
      <c r="F32" s="22" t="n">
        <v>4000</v>
      </c>
      <c r="G32" s="26">
        <f>ROUND(F32/40,0)</f>
        <v/>
      </c>
      <c r="H32" s="19" t="inlineStr">
        <is>
          <t>🟡 электроника (G-mark)</t>
        </is>
      </c>
      <c r="I32" s="31" t="inlineStr">
        <is>
          <t>Средний</t>
        </is>
      </c>
      <c r="J32" s="21" t="inlineStr">
        <is>
          <t>оценка</t>
        </is>
      </c>
      <c r="K32" s="33" t="inlineStr">
        <is>
          <t>Электроника; сон/дети. Сертификация.</t>
        </is>
      </c>
      <c r="L32" s="19" t="n"/>
    </row>
    <row r="33">
      <c r="A33" s="19" t="inlineStr">
        <is>
          <t>Поясничная подушка для авто/офиса</t>
        </is>
      </c>
      <c r="B33" s="19" t="inlineStr"/>
      <c r="C33" s="19" t="n"/>
      <c r="D33" s="29" t="n">
        <v>30</v>
      </c>
      <c r="E33" s="30">
        <f>D33*3.6725</f>
        <v/>
      </c>
      <c r="F33" s="22" t="n">
        <v>4000</v>
      </c>
      <c r="G33" s="26">
        <f>ROUND(F33/40,0)</f>
        <v/>
      </c>
      <c r="H33" s="19" t="inlineStr">
        <is>
          <t>🟢 обычный товар</t>
        </is>
      </c>
      <c r="I33" s="32" t="inlineStr">
        <is>
          <t>Низкий</t>
        </is>
      </c>
      <c r="J33" s="21" t="inlineStr">
        <is>
          <t>оценка</t>
        </is>
      </c>
      <c r="K33" s="33" t="inlineStr">
        <is>
          <t>Офис/авто, сидячая аудитория ОАЭ.</t>
        </is>
      </c>
      <c r="L33" s="19" t="n"/>
    </row>
    <row r="34">
      <c r="A34" s="19" t="inlineStr">
        <is>
          <t>Беруши (многоразовые, силикон)</t>
        </is>
      </c>
      <c r="B34" s="19" t="inlineStr"/>
      <c r="C34" s="19" t="n"/>
      <c r="D34" s="29" t="n">
        <v>12</v>
      </c>
      <c r="E34" s="30">
        <f>D34*3.6725</f>
        <v/>
      </c>
      <c r="F34" s="22" t="n">
        <v>5000</v>
      </c>
      <c r="G34" s="26">
        <f>ROUND(F34/40,0)</f>
        <v/>
      </c>
      <c r="H34" s="19" t="inlineStr">
        <is>
          <t>🟢 обычный товар</t>
        </is>
      </c>
      <c r="I34" s="32" t="inlineStr">
        <is>
          <t>Низкий</t>
        </is>
      </c>
      <c r="J34" s="21" t="inlineStr">
        <is>
          <t>оценка</t>
        </is>
      </c>
      <c r="K34" s="33" t="inlineStr">
        <is>
          <t>Аналог маски для сна: расходка, дёшево, высокий повтор.</t>
        </is>
      </c>
      <c r="L34" s="19" t="n"/>
    </row>
    <row r="35">
      <c r="A35" s="19" t="inlineStr">
        <is>
          <t>Дорожная шейная подушка (travel neck)</t>
        </is>
      </c>
      <c r="B35" s="19" t="inlineStr"/>
      <c r="C35" s="19" t="n"/>
      <c r="D35" s="29" t="n">
        <v>25</v>
      </c>
      <c r="E35" s="30">
        <f>D35*3.6725</f>
        <v/>
      </c>
      <c r="F35" s="22" t="n">
        <v>5000</v>
      </c>
      <c r="G35" s="26">
        <f>ROUND(F35/40,0)</f>
        <v/>
      </c>
      <c r="H35" s="19" t="inlineStr">
        <is>
          <t>🟢 обычный товар</t>
        </is>
      </c>
      <c r="I35" s="32" t="inlineStr">
        <is>
          <t>Низкий</t>
        </is>
      </c>
      <c r="J35" s="21" t="inlineStr">
        <is>
          <t>оценка</t>
        </is>
      </c>
      <c r="K35" s="33" t="inlineStr">
        <is>
          <t>Аналог: перелёты (хаб ОАЭ), объёмный вес — смотри FBA.</t>
        </is>
      </c>
      <c r="L35" s="19" t="n"/>
    </row>
    <row r="36">
      <c r="A36" s="19" t="inlineStr">
        <is>
          <t>Контурная ортопед. подушка (memory foam)</t>
        </is>
      </c>
      <c r="B36" s="19" t="inlineStr"/>
      <c r="C36" s="19" t="n"/>
      <c r="D36" s="29" t="n">
        <v>40</v>
      </c>
      <c r="E36" s="30">
        <f>D36*3.6725</f>
        <v/>
      </c>
      <c r="F36" s="22" t="n">
        <v>5000</v>
      </c>
      <c r="G36" s="26">
        <f>ROUND(F36/40,0)</f>
        <v/>
      </c>
      <c r="H36" s="19" t="inlineStr">
        <is>
          <t>🟢 обычный товар</t>
        </is>
      </c>
      <c r="I36" s="31" t="inlineStr">
        <is>
          <t>Средний</t>
        </is>
      </c>
      <c r="J36" s="21" t="inlineStr">
        <is>
          <t>оценка</t>
        </is>
      </c>
      <c r="K36" s="33" t="inlineStr">
        <is>
          <t>Аналог: шея/сон, высокий чек, габарит.</t>
        </is>
      </c>
      <c r="L36" s="19" t="n"/>
    </row>
    <row r="37">
      <c r="A37" s="19" t="inlineStr">
        <is>
          <t>Паровая маска для глаз с подогревом</t>
        </is>
      </c>
      <c r="B37" s="19" t="inlineStr"/>
      <c r="C37" s="19" t="n"/>
      <c r="D37" s="29" t="n">
        <v>20</v>
      </c>
      <c r="E37" s="30">
        <f>D37*3.6725</f>
        <v/>
      </c>
      <c r="F37" s="22" t="n">
        <v>3000</v>
      </c>
      <c r="G37" s="26">
        <f>ROUND(F37/40,0)</f>
        <v/>
      </c>
      <c r="H37" s="19" t="inlineStr">
        <is>
          <t>🟢 обычный товар</t>
        </is>
      </c>
      <c r="I37" s="32" t="inlineStr">
        <is>
          <t>Низкий</t>
        </is>
      </c>
      <c r="J37" s="21" t="inlineStr">
        <is>
          <t>оценка</t>
        </is>
      </c>
      <c r="K37" s="33" t="inlineStr">
        <is>
          <t>Аналог маски для сна: релакс/сухость глаз (кондиционеры ОАЭ).</t>
        </is>
      </c>
      <c r="L37" s="19" t="n"/>
    </row>
    <row r="38">
      <c r="A38" s="19" t="inlineStr">
        <is>
          <t>Световой будильник-рассвет (sunrise)</t>
        </is>
      </c>
      <c r="B38" s="19" t="inlineStr"/>
      <c r="C38" s="19" t="n"/>
      <c r="D38" s="29" t="n">
        <v>40</v>
      </c>
      <c r="E38" s="30">
        <f>D38*3.6725</f>
        <v/>
      </c>
      <c r="F38" s="22" t="n">
        <v>2000</v>
      </c>
      <c r="G38" s="26">
        <f>ROUND(F38/40,0)</f>
        <v/>
      </c>
      <c r="H38" s="19" t="inlineStr">
        <is>
          <t>🟡 электроника (G-mark)</t>
        </is>
      </c>
      <c r="I38" s="31" t="inlineStr">
        <is>
          <t>Средний</t>
        </is>
      </c>
      <c r="J38" s="21" t="inlineStr">
        <is>
          <t>оценка</t>
        </is>
      </c>
      <c r="K38" s="33" t="inlineStr">
        <is>
          <t>Аналог: сон/пробуждение. Электроника.</t>
        </is>
      </c>
      <c r="L38" s="19" t="n"/>
    </row>
    <row r="39">
      <c r="A39" s="18" t="inlineStr">
        <is>
          <t>▸ Охлаждение (ОАЭ-приоритет)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</row>
    <row r="40">
      <c r="A40" s="19" t="inlineStr">
        <is>
          <t>Охлаждающее полотенце</t>
        </is>
      </c>
      <c r="B40" s="19" t="inlineStr"/>
      <c r="C40" s="19" t="n"/>
      <c r="D40" s="29" t="n">
        <v>15</v>
      </c>
      <c r="E40" s="30">
        <f>D40*3.6725</f>
        <v/>
      </c>
      <c r="F40" s="22" t="n">
        <v>5000</v>
      </c>
      <c r="G40" s="26">
        <f>ROUND(F40/40,0)</f>
        <v/>
      </c>
      <c r="H40" s="19" t="inlineStr">
        <is>
          <t>🟢 обычный товар</t>
        </is>
      </c>
      <c r="I40" s="32" t="inlineStr">
        <is>
          <t>Низкий</t>
        </is>
      </c>
      <c r="J40" s="21" t="inlineStr">
        <is>
          <t>оценка</t>
        </is>
      </c>
      <c r="K40" s="33" t="inlineStr">
        <is>
          <t>★ Климат ОАЭ. Текстиль, лёгкий, дёшев. Низкий чек — бери в стек.</t>
        </is>
      </c>
      <c r="L40" s="19" t="n"/>
    </row>
    <row r="41">
      <c r="A41" s="19" t="inlineStr">
        <is>
          <t>Гелевая охлажд. маска для глаз</t>
        </is>
      </c>
      <c r="B41" s="19" t="inlineStr"/>
      <c r="C41" s="19" t="n"/>
      <c r="D41" s="29" t="n">
        <v>15</v>
      </c>
      <c r="E41" s="30">
        <f>D41*3.6725</f>
        <v/>
      </c>
      <c r="F41" s="22" t="n">
        <v>5000</v>
      </c>
      <c r="G41" s="26">
        <f>ROUND(F41/40,0)</f>
        <v/>
      </c>
      <c r="H41" s="19" t="inlineStr">
        <is>
          <t>🟢 обычный товар</t>
        </is>
      </c>
      <c r="I41" s="32" t="inlineStr">
        <is>
          <t>Низкий</t>
        </is>
      </c>
      <c r="J41" s="21" t="inlineStr">
        <is>
          <t>оценка</t>
        </is>
      </c>
      <c r="K41" s="33" t="inlineStr">
        <is>
          <t>★ Уход/гигиена, лёгкая, многоразовая.</t>
        </is>
      </c>
      <c r="L41" s="19" t="n"/>
    </row>
    <row r="42">
      <c r="A42" s="19" t="inlineStr">
        <is>
          <t>Многоразовый холодный гелевый компресс</t>
        </is>
      </c>
      <c r="B42" s="19" t="inlineStr"/>
      <c r="C42" s="19" t="n"/>
      <c r="D42" s="29" t="n">
        <v>18</v>
      </c>
      <c r="E42" s="30">
        <f>D42*3.6725</f>
        <v/>
      </c>
      <c r="F42" s="22" t="n">
        <v>5000</v>
      </c>
      <c r="G42" s="26">
        <f>ROUND(F42/40,0)</f>
        <v/>
      </c>
      <c r="H42" s="19" t="inlineStr">
        <is>
          <t>🟢 обычный товар</t>
        </is>
      </c>
      <c r="I42" s="32" t="inlineStr">
        <is>
          <t>Низкий</t>
        </is>
      </c>
      <c r="J42" s="21" t="inlineStr">
        <is>
          <t>оценка</t>
        </is>
      </c>
      <c r="K42" s="33" t="inlineStr">
        <is>
          <t>★ Обычный товар; избегай мед-claims (иначе → мед.изделие MOHAP).</t>
        </is>
      </c>
      <c r="L42" s="19" t="n"/>
    </row>
    <row r="43">
      <c r="A43" s="19" t="inlineStr">
        <is>
          <t>Охлаждающая подушка / наволочка</t>
        </is>
      </c>
      <c r="B43" s="19" t="inlineStr"/>
      <c r="C43" s="19" t="n"/>
      <c r="D43" s="29" t="n">
        <v>40</v>
      </c>
      <c r="E43" s="30">
        <f>D43*3.6725</f>
        <v/>
      </c>
      <c r="F43" s="22" t="n">
        <v>4000</v>
      </c>
      <c r="G43" s="26">
        <f>ROUND(F43/40,0)</f>
        <v/>
      </c>
      <c r="H43" s="19" t="inlineStr">
        <is>
          <t>🟢 обычный товар</t>
        </is>
      </c>
      <c r="I43" s="31" t="inlineStr">
        <is>
          <t>Средний</t>
        </is>
      </c>
      <c r="J43" s="21" t="inlineStr">
        <is>
          <t>оценка</t>
        </is>
      </c>
      <c r="K43" s="33" t="inlineStr">
        <is>
          <t>Объёмная. Климат ОАЭ. Премиум-чек.</t>
        </is>
      </c>
      <c r="L43" s="19" t="n"/>
    </row>
    <row r="44">
      <c r="A44" s="19" t="inlineStr">
        <is>
          <t>Ортоп. подушка с охлажд. чехлом</t>
        </is>
      </c>
      <c r="B44" s="19" t="inlineStr"/>
      <c r="C44" s="19" t="n"/>
      <c r="D44" s="29" t="n">
        <v>45</v>
      </c>
      <c r="E44" s="30">
        <f>D44*3.6725</f>
        <v/>
      </c>
      <c r="F44" s="22" t="n">
        <v>3000</v>
      </c>
      <c r="G44" s="26">
        <f>ROUND(F44/40,0)</f>
        <v/>
      </c>
      <c r="H44" s="19" t="inlineStr">
        <is>
          <t>🟢 обычный товар</t>
        </is>
      </c>
      <c r="I44" s="31" t="inlineStr">
        <is>
          <t>Средний</t>
        </is>
      </c>
      <c r="J44" s="21" t="inlineStr">
        <is>
          <t>оценка</t>
        </is>
      </c>
      <c r="K44" s="33" t="inlineStr">
        <is>
          <t>Объёмная, премиум. Сон в жару.</t>
        </is>
      </c>
      <c r="L44" s="19" t="n"/>
    </row>
    <row r="45">
      <c r="A45" s="19" t="inlineStr">
        <is>
          <t>USB-вентилятор</t>
        </is>
      </c>
      <c r="B45" s="19" t="inlineStr"/>
      <c r="C45" s="19" t="n"/>
      <c r="D45" s="29" t="n">
        <v>20</v>
      </c>
      <c r="E45" s="30">
        <f>D45*3.6725</f>
        <v/>
      </c>
      <c r="F45" s="22" t="n">
        <v>8000</v>
      </c>
      <c r="G45" s="26">
        <f>ROUND(F45/40,0)</f>
        <v/>
      </c>
      <c r="H45" s="19" t="inlineStr">
        <is>
          <t>🟡 электроника (G-mark)</t>
        </is>
      </c>
      <c r="I45" s="31" t="inlineStr">
        <is>
          <t>Средний</t>
        </is>
      </c>
      <c r="J45" s="21" t="inlineStr">
        <is>
          <t>оценка</t>
        </is>
      </c>
      <c r="K45" s="33" t="inlineStr">
        <is>
          <t>★ Электроника, массовый спрос в жару. Сертификация.</t>
        </is>
      </c>
      <c r="L45" s="19" t="n"/>
    </row>
    <row r="46">
      <c r="A46" s="19" t="inlineStr">
        <is>
          <t>Складной аккумуляторный вентилятор</t>
        </is>
      </c>
      <c r="B46" s="19" t="inlineStr"/>
      <c r="C46" s="19" t="n"/>
      <c r="D46" s="29" t="n">
        <v>30</v>
      </c>
      <c r="E46" s="30">
        <f>D46*3.6725</f>
        <v/>
      </c>
      <c r="F46" s="22" t="n">
        <v>5000</v>
      </c>
      <c r="G46" s="26">
        <f>ROUND(F46/40,0)</f>
        <v/>
      </c>
      <c r="H46" s="19" t="inlineStr">
        <is>
          <t>🟡 электроника (G-mark)</t>
        </is>
      </c>
      <c r="I46" s="31" t="inlineStr">
        <is>
          <t>Средний</t>
        </is>
      </c>
      <c r="J46" s="21" t="inlineStr">
        <is>
          <t>оценка</t>
        </is>
      </c>
      <c r="K46" s="33" t="inlineStr">
        <is>
          <t>★ Портативный, лето ОАЭ. Аккумулятор → правила перевозки.</t>
        </is>
      </c>
      <c r="L46" s="19" t="n"/>
    </row>
    <row r="47">
      <c r="A47" s="19" t="inlineStr">
        <is>
          <t>Шейный вентилятор / neck cooler</t>
        </is>
      </c>
      <c r="B47" s="19" t="inlineStr"/>
      <c r="C47" s="19" t="n"/>
      <c r="D47" s="29" t="n">
        <v>35</v>
      </c>
      <c r="E47" s="30">
        <f>D47*3.6725</f>
        <v/>
      </c>
      <c r="F47" s="22" t="n">
        <v>4000</v>
      </c>
      <c r="G47" s="26">
        <f>ROUND(F47/40,0)</f>
        <v/>
      </c>
      <c r="H47" s="19" t="inlineStr">
        <is>
          <t>🟡 электроника (G-mark)</t>
        </is>
      </c>
      <c r="I47" s="31" t="inlineStr">
        <is>
          <t>Средний</t>
        </is>
      </c>
      <c r="J47" s="21" t="inlineStr">
        <is>
          <t>оценка</t>
        </is>
      </c>
      <c r="K47" s="33" t="inlineStr">
        <is>
          <t>★ Вирусный товар, ОАЭ-жара. Электроника.</t>
        </is>
      </c>
      <c r="L47" s="19" t="n"/>
    </row>
    <row r="48">
      <c r="A48" s="19" t="inlineStr">
        <is>
          <t>Охлаждающий жилет (спорт/работа)</t>
        </is>
      </c>
      <c r="B48" s="19" t="inlineStr"/>
      <c r="C48" s="19" t="n"/>
      <c r="D48" s="29" t="n">
        <v>55</v>
      </c>
      <c r="E48" s="30">
        <f>D48*3.6725</f>
        <v/>
      </c>
      <c r="F48" s="22" t="n">
        <v>1500</v>
      </c>
      <c r="G48" s="26">
        <f>ROUND(F48/40,0)</f>
        <v/>
      </c>
      <c r="H48" s="19" t="inlineStr">
        <is>
          <t>🟡 электроника/гель</t>
        </is>
      </c>
      <c r="I48" s="31" t="inlineStr">
        <is>
          <t>Средний</t>
        </is>
      </c>
      <c r="J48" s="21" t="inlineStr">
        <is>
          <t>оценка</t>
        </is>
      </c>
      <c r="K48" s="33" t="inlineStr">
        <is>
          <t>Спорт/работа на улице. Проверь тип: гелевый (🟢) vs активный электро (🟡).</t>
        </is>
      </c>
      <c r="L48" s="19" t="n"/>
    </row>
    <row r="49">
      <c r="A49" s="19" t="inlineStr">
        <is>
          <t>Термосумка для холодных компрессов</t>
        </is>
      </c>
      <c r="B49" s="19" t="inlineStr"/>
      <c r="C49" s="19" t="n"/>
      <c r="D49" s="29" t="n">
        <v>25</v>
      </c>
      <c r="E49" s="30">
        <f>D49*3.6725</f>
        <v/>
      </c>
      <c r="F49" s="22" t="n">
        <v>2000</v>
      </c>
      <c r="G49" s="26">
        <f>ROUND(F49/40,0)</f>
        <v/>
      </c>
      <c r="H49" s="19" t="inlineStr">
        <is>
          <t>🟢 обычный товар</t>
        </is>
      </c>
      <c r="I49" s="32" t="inlineStr">
        <is>
          <t>Низкий</t>
        </is>
      </c>
      <c r="J49" s="21" t="inlineStr">
        <is>
          <t>оценка</t>
        </is>
      </c>
      <c r="K49" s="33" t="inlineStr">
        <is>
          <t>Аксессуар к компрессам, лёгкий.</t>
        </is>
      </c>
      <c r="L49" s="19" t="n"/>
    </row>
    <row r="50">
      <c r="A50" s="19" t="inlineStr">
        <is>
          <t>Охлаждающая бандана / шарф</t>
        </is>
      </c>
      <c r="B50" s="19" t="inlineStr"/>
      <c r="C50" s="19" t="n"/>
      <c r="D50" s="29" t="n">
        <v>12</v>
      </c>
      <c r="E50" s="30">
        <f>D50*3.6725</f>
        <v/>
      </c>
      <c r="F50" s="22" t="n">
        <v>4000</v>
      </c>
      <c r="G50" s="26">
        <f>ROUND(F50/40,0)</f>
        <v/>
      </c>
      <c r="H50" s="19" t="inlineStr">
        <is>
          <t>🟢 обычный товар</t>
        </is>
      </c>
      <c r="I50" s="32" t="inlineStr">
        <is>
          <t>Низкий</t>
        </is>
      </c>
      <c r="J50" s="21" t="inlineStr">
        <is>
          <t>оценка</t>
        </is>
      </c>
      <c r="K50" s="33" t="inlineStr">
        <is>
          <t>Аналог полотенца: улица/спорт ОАЭ. Дёшев, лёгкий.</t>
        </is>
      </c>
      <c r="L50" s="19" t="n"/>
    </row>
    <row r="51">
      <c r="A51" s="19" t="inlineStr">
        <is>
          <t>Мини USB-кондиционер / испарит. охладитель</t>
        </is>
      </c>
      <c r="B51" s="19" t="inlineStr"/>
      <c r="C51" s="19" t="n"/>
      <c r="D51" s="29" t="n">
        <v>40</v>
      </c>
      <c r="E51" s="30">
        <f>D51*3.6725</f>
        <v/>
      </c>
      <c r="F51" s="22" t="n">
        <v>4000</v>
      </c>
      <c r="G51" s="26">
        <f>ROUND(F51/40,0)</f>
        <v/>
      </c>
      <c r="H51" s="19" t="inlineStr">
        <is>
          <t>🟡 электроника (G-mark)</t>
        </is>
      </c>
      <c r="I51" s="31" t="inlineStr">
        <is>
          <t>Средний</t>
        </is>
      </c>
      <c r="J51" s="21" t="inlineStr">
        <is>
          <t>оценка</t>
        </is>
      </c>
      <c r="K51" s="33" t="inlineStr">
        <is>
          <t>Аналог вентилятора: настольный personal cooler. Электроника.</t>
        </is>
      </c>
      <c r="L51" s="19" t="n"/>
    </row>
    <row r="52">
      <c r="A52" s="19" t="inlineStr">
        <is>
          <t>Настольный / клипс-вентилятор</t>
        </is>
      </c>
      <c r="B52" s="19" t="inlineStr"/>
      <c r="C52" s="19" t="n"/>
      <c r="D52" s="29" t="n">
        <v>22</v>
      </c>
      <c r="E52" s="30">
        <f>D52*3.6725</f>
        <v/>
      </c>
      <c r="F52" s="22" t="n">
        <v>5000</v>
      </c>
      <c r="G52" s="26">
        <f>ROUND(F52/40,0)</f>
        <v/>
      </c>
      <c r="H52" s="19" t="inlineStr">
        <is>
          <t>🟡 электроника (G-mark)</t>
        </is>
      </c>
      <c r="I52" s="31" t="inlineStr">
        <is>
          <t>Средний</t>
        </is>
      </c>
      <c r="J52" s="21" t="inlineStr">
        <is>
          <t>оценка</t>
        </is>
      </c>
      <c r="K52" s="33" t="inlineStr">
        <is>
          <t>Аналог USB-вентилятора: офис/детская коляска. Электроника.</t>
        </is>
      </c>
      <c r="L52" s="19" t="n"/>
    </row>
    <row r="53">
      <c r="A53" s="19" t="inlineStr">
        <is>
          <t>Вентилятор с распылением (misting fan)</t>
        </is>
      </c>
      <c r="B53" s="19" t="inlineStr"/>
      <c r="C53" s="19" t="n"/>
      <c r="D53" s="29" t="n">
        <v>25</v>
      </c>
      <c r="E53" s="30">
        <f>D53*3.6725</f>
        <v/>
      </c>
      <c r="F53" s="22" t="n">
        <v>3000</v>
      </c>
      <c r="G53" s="26">
        <f>ROUND(F53/40,0)</f>
        <v/>
      </c>
      <c r="H53" s="19" t="inlineStr">
        <is>
          <t>🟡 электроника (G-mark)</t>
        </is>
      </c>
      <c r="I53" s="31" t="inlineStr">
        <is>
          <t>Средний</t>
        </is>
      </c>
      <c r="J53" s="21" t="inlineStr">
        <is>
          <t>оценка</t>
        </is>
      </c>
      <c r="K53" s="33" t="inlineStr">
        <is>
          <t>Аналог: улица/сад/спорт в жару ОАЭ. Электроника.</t>
        </is>
      </c>
      <c r="L53" s="19" t="n"/>
    </row>
    <row r="54">
      <c r="A54" s="19" t="inlineStr">
        <is>
          <t>Охлаждающие гелевые стельки</t>
        </is>
      </c>
      <c r="B54" s="19" t="inlineStr"/>
      <c r="C54" s="19" t="n"/>
      <c r="D54" s="29" t="n">
        <v>15</v>
      </c>
      <c r="E54" s="30">
        <f>D54*3.6725</f>
        <v/>
      </c>
      <c r="F54" s="22" t="n">
        <v>2000</v>
      </c>
      <c r="G54" s="26">
        <f>ROUND(F54/40,0)</f>
        <v/>
      </c>
      <c r="H54" s="19" t="inlineStr">
        <is>
          <t>🟢 обычный товар</t>
        </is>
      </c>
      <c r="I54" s="32" t="inlineStr">
        <is>
          <t>Низкий</t>
        </is>
      </c>
      <c r="J54" s="21" t="inlineStr">
        <is>
          <t>оценка</t>
        </is>
      </c>
      <c r="K54" s="33" t="inlineStr">
        <is>
          <t>Аналог: ноги в жару, работа стоя. Расходка.</t>
        </is>
      </c>
      <c r="L54" s="19" t="n"/>
    </row>
    <row r="55">
      <c r="A55" s="19" t="inlineStr">
        <is>
          <t>Самоохлаждающийся коврик (сон/питомцы)</t>
        </is>
      </c>
      <c r="B55" s="19" t="inlineStr"/>
      <c r="C55" s="19" t="n"/>
      <c r="D55" s="29" t="n">
        <v>30</v>
      </c>
      <c r="E55" s="30">
        <f>D55*3.6725</f>
        <v/>
      </c>
      <c r="F55" s="22" t="n">
        <v>3000</v>
      </c>
      <c r="G55" s="26">
        <f>ROUND(F55/40,0)</f>
        <v/>
      </c>
      <c r="H55" s="19" t="inlineStr">
        <is>
          <t>🟢 обычный товар</t>
        </is>
      </c>
      <c r="I55" s="31" t="inlineStr">
        <is>
          <t>Средний</t>
        </is>
      </c>
      <c r="J55" s="21" t="inlineStr">
        <is>
          <t>оценка</t>
        </is>
      </c>
      <c r="K55" s="33" t="inlineStr">
        <is>
          <t>Аналог охлажд. подушки: гелевый коврик. Габарит.</t>
        </is>
      </c>
      <c r="L55" s="19" t="n"/>
    </row>
    <row r="56">
      <c r="A56" s="19" t="inlineStr">
        <is>
          <t>Зонт от солнца UPF (анти-UV)</t>
        </is>
      </c>
      <c r="B56" s="19" t="inlineStr"/>
      <c r="C56" s="19" t="n"/>
      <c r="D56" s="29" t="n">
        <v>25</v>
      </c>
      <c r="E56" s="30">
        <f>D56*3.6725</f>
        <v/>
      </c>
      <c r="F56" s="22" t="n">
        <v>4000</v>
      </c>
      <c r="G56" s="26">
        <f>ROUND(F56/40,0)</f>
        <v/>
      </c>
      <c r="H56" s="19" t="inlineStr">
        <is>
          <t>🟢 обычный товар</t>
        </is>
      </c>
      <c r="I56" s="32" t="inlineStr">
        <is>
          <t>Низкий</t>
        </is>
      </c>
      <c r="J56" s="21" t="inlineStr">
        <is>
          <t>оценка</t>
        </is>
      </c>
      <c r="K56" s="33" t="inlineStr">
        <is>
          <t>Аналог по климату: защита от солнца ОАЭ. Лёгкий.</t>
        </is>
      </c>
      <c r="L56" s="19" t="n"/>
    </row>
    <row r="57">
      <c r="A57" s="18" t="inlineStr">
        <is>
          <t>▸ Качество воздуха / увлажнение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</row>
    <row r="58">
      <c r="A58" s="19" t="inlineStr">
        <is>
          <t>Увлажнитель воздуха</t>
        </is>
      </c>
      <c r="B58" s="19" t="inlineStr"/>
      <c r="C58" s="19" t="n"/>
      <c r="D58" s="29" t="n">
        <v>40</v>
      </c>
      <c r="E58" s="30">
        <f>D58*3.6725</f>
        <v/>
      </c>
      <c r="F58" s="22" t="n">
        <v>8000</v>
      </c>
      <c r="G58" s="26">
        <f>ROUND(F58/40,0)</f>
        <v/>
      </c>
      <c r="H58" s="19" t="inlineStr">
        <is>
          <t>🟡 электроника (G-mark)</t>
        </is>
      </c>
      <c r="I58" s="31" t="inlineStr">
        <is>
          <t>Средний</t>
        </is>
      </c>
      <c r="J58" s="21" t="inlineStr">
        <is>
          <t>оценка</t>
        </is>
      </c>
      <c r="K58" s="33" t="inlineStr">
        <is>
          <t>Электроника. Сухой климат/кондиционеры ОАЭ = стабильный спрос.</t>
        </is>
      </c>
      <c r="L58" s="19" t="n"/>
    </row>
    <row r="59">
      <c r="A59" s="19" t="inlineStr">
        <is>
          <t>Увлажнитель с гигрометром</t>
        </is>
      </c>
      <c r="B59" s="19" t="inlineStr"/>
      <c r="C59" s="19" t="n"/>
      <c r="D59" s="29" t="n">
        <v>50</v>
      </c>
      <c r="E59" s="30">
        <f>D59*3.6725</f>
        <v/>
      </c>
      <c r="F59" s="22" t="n">
        <v>3000</v>
      </c>
      <c r="G59" s="26">
        <f>ROUND(F59/40,0)</f>
        <v/>
      </c>
      <c r="H59" s="19" t="inlineStr">
        <is>
          <t>🟡 электроника (G-mark)</t>
        </is>
      </c>
      <c r="I59" s="31" t="inlineStr">
        <is>
          <t>Средний</t>
        </is>
      </c>
      <c r="J59" s="21" t="inlineStr">
        <is>
          <t>оценка</t>
        </is>
      </c>
      <c r="K59" s="33" t="inlineStr">
        <is>
          <t>Премиум-версия с датчиком влажности.</t>
        </is>
      </c>
      <c r="L59" s="19" t="n"/>
    </row>
    <row r="60">
      <c r="A60" s="19" t="inlineStr">
        <is>
          <t>Датчик CO₂ / PM2.5 / темп. / влажности</t>
        </is>
      </c>
      <c r="B60" s="19" t="inlineStr"/>
      <c r="C60" s="19" t="n"/>
      <c r="D60" s="29" t="n">
        <v>80</v>
      </c>
      <c r="E60" s="30">
        <f>D60*3.6725</f>
        <v/>
      </c>
      <c r="F60" s="22" t="n">
        <v>2000</v>
      </c>
      <c r="G60" s="26">
        <f>ROUND(F60/40,0)</f>
        <v/>
      </c>
      <c r="H60" s="19" t="inlineStr">
        <is>
          <t>🟡 электроника (G-mark)</t>
        </is>
      </c>
      <c r="I60" s="31" t="inlineStr">
        <is>
          <t>Средний</t>
        </is>
      </c>
      <c r="J60" s="21" t="inlineStr">
        <is>
          <t>оценка</t>
        </is>
      </c>
      <c r="K60" s="33" t="inlineStr">
        <is>
          <t>Растущая ниша air-quality, высокий чек. Сертификация.</t>
        </is>
      </c>
      <c r="L60" s="19" t="n"/>
    </row>
    <row r="61">
      <c r="A61" s="19" t="inlineStr">
        <is>
          <t>Очиститель воздуха (HEPA)</t>
        </is>
      </c>
      <c r="B61" s="19" t="inlineStr"/>
      <c r="C61" s="19" t="n"/>
      <c r="D61" s="29" t="n">
        <v>80</v>
      </c>
      <c r="E61" s="30">
        <f>D61*3.6725</f>
        <v/>
      </c>
      <c r="F61" s="22" t="n">
        <v>5000</v>
      </c>
      <c r="G61" s="26">
        <f>ROUND(F61/40,0)</f>
        <v/>
      </c>
      <c r="H61" s="19" t="inlineStr">
        <is>
          <t>🟡 электроника (G-mark)</t>
        </is>
      </c>
      <c r="I61" s="31" t="inlineStr">
        <is>
          <t>Средний</t>
        </is>
      </c>
      <c r="J61" s="21" t="inlineStr">
        <is>
          <t>оценка</t>
        </is>
      </c>
      <c r="K61" s="33" t="inlineStr">
        <is>
          <t>Аналог: пыль/песок ОАЭ. Габарит+электроника, высокий чек.</t>
        </is>
      </c>
      <c r="L61" s="19" t="n"/>
    </row>
    <row r="62">
      <c r="A62" s="19" t="inlineStr">
        <is>
          <t>Сменные HEPA-фильтры</t>
        </is>
      </c>
      <c r="B62" s="19" t="inlineStr"/>
      <c r="C62" s="19" t="n"/>
      <c r="D62" s="29" t="n">
        <v>25</v>
      </c>
      <c r="E62" s="30">
        <f>D62*3.6725</f>
        <v/>
      </c>
      <c r="F62" s="22" t="n">
        <v>4000</v>
      </c>
      <c r="G62" s="26">
        <f>ROUND(F62/40,0)</f>
        <v/>
      </c>
      <c r="H62" s="19" t="inlineStr">
        <is>
          <t>🟢 обычный товар</t>
        </is>
      </c>
      <c r="I62" s="32" t="inlineStr">
        <is>
          <t>Низкий</t>
        </is>
      </c>
      <c r="J62" s="21" t="inlineStr">
        <is>
          <t>оценка</t>
        </is>
      </c>
      <c r="K62" s="33" t="inlineStr">
        <is>
          <t>Аналог-РАСХОДКА к очистителям: повторные покупки, лёгкие.</t>
        </is>
      </c>
      <c r="L62" s="19" t="n"/>
    </row>
    <row r="63">
      <c r="A63" s="19" t="inlineStr">
        <is>
          <t>Гигрометр-термометр (отдельный)</t>
        </is>
      </c>
      <c r="B63" s="19" t="inlineStr"/>
      <c r="C63" s="19" t="n"/>
      <c r="D63" s="29" t="n">
        <v>15</v>
      </c>
      <c r="E63" s="30">
        <f>D63*3.6725</f>
        <v/>
      </c>
      <c r="F63" s="22" t="n">
        <v>5000</v>
      </c>
      <c r="G63" s="26">
        <f>ROUND(F63/40,0)</f>
        <v/>
      </c>
      <c r="H63" s="19" t="inlineStr">
        <is>
          <t>🟡 электроника (G-mark)</t>
        </is>
      </c>
      <c r="I63" s="32" t="inlineStr">
        <is>
          <t>Низкий</t>
        </is>
      </c>
      <c r="J63" s="21" t="inlineStr">
        <is>
          <t>оценка</t>
        </is>
      </c>
      <c r="K63" s="33" t="inlineStr">
        <is>
          <t>Аналог: дёшев, массовый. Дом/склад/теплица.</t>
        </is>
      </c>
      <c r="L63" s="19" t="n"/>
    </row>
    <row r="64">
      <c r="A64" s="19" t="inlineStr">
        <is>
          <t>Диффузор эфирных масел</t>
        </is>
      </c>
      <c r="B64" s="19" t="inlineStr"/>
      <c r="C64" s="19" t="n"/>
      <c r="D64" s="29" t="n">
        <v>25</v>
      </c>
      <c r="E64" s="30">
        <f>D64*3.6725</f>
        <v/>
      </c>
      <c r="F64" s="22" t="n">
        <v>5000</v>
      </c>
      <c r="G64" s="26">
        <f>ROUND(F64/40,0)</f>
        <v/>
      </c>
      <c r="H64" s="19" t="inlineStr">
        <is>
          <t>🟡 электроника (G-mark)</t>
        </is>
      </c>
      <c r="I64" s="31" t="inlineStr">
        <is>
          <t>Средний</t>
        </is>
      </c>
      <c r="J64" s="21" t="inlineStr">
        <is>
          <t>оценка</t>
        </is>
      </c>
      <c r="K64" s="33" t="inlineStr">
        <is>
          <t>Аналог увлажнителя: арома+влага. Электроника (без масел = прибор).</t>
        </is>
      </c>
      <c r="L64" s="19" t="n"/>
    </row>
    <row r="65">
      <c r="A65" s="19" t="inlineStr">
        <is>
          <t>Портативный осушитель воздуха</t>
        </is>
      </c>
      <c r="B65" s="19" t="inlineStr"/>
      <c r="C65" s="19" t="n"/>
      <c r="D65" s="29" t="n">
        <v>50</v>
      </c>
      <c r="E65" s="30">
        <f>D65*3.6725</f>
        <v/>
      </c>
      <c r="F65" s="22" t="n">
        <v>2000</v>
      </c>
      <c r="G65" s="26">
        <f>ROUND(F65/40,0)</f>
        <v/>
      </c>
      <c r="H65" s="19" t="inlineStr">
        <is>
          <t>🟡 электроника (G-mark)</t>
        </is>
      </c>
      <c r="I65" s="31" t="inlineStr">
        <is>
          <t>Средний</t>
        </is>
      </c>
      <c r="J65" s="21" t="inlineStr">
        <is>
          <t>оценка</t>
        </is>
      </c>
      <c r="K65" s="33" t="inlineStr">
        <is>
          <t>Аналог: влажность/шкафы. Электроника, сезон.</t>
        </is>
      </c>
      <c r="L65" s="19" t="n"/>
    </row>
    <row r="66">
      <c r="A66" s="18" t="inlineStr">
        <is>
          <t>▸ Йога / фитнес</t>
        </is>
      </c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</row>
    <row r="67">
      <c r="A67" s="19" t="inlineStr">
        <is>
          <t>Коврик для йоги / гимнастики</t>
        </is>
      </c>
      <c r="B67" s="19" t="inlineStr"/>
      <c r="C67" s="19" t="n"/>
      <c r="D67" s="29" t="n">
        <v>30</v>
      </c>
      <c r="E67" s="30">
        <f>D67*3.6725</f>
        <v/>
      </c>
      <c r="F67" s="22" t="n">
        <v>6000</v>
      </c>
      <c r="G67" s="26">
        <f>ROUND(F67/40,0)</f>
        <v/>
      </c>
      <c r="H67" s="19" t="inlineStr">
        <is>
          <t>🟢 обычный товар</t>
        </is>
      </c>
      <c r="I67" s="31" t="inlineStr">
        <is>
          <t>Средний</t>
        </is>
      </c>
      <c r="J67" s="21" t="inlineStr">
        <is>
          <t>оценка</t>
        </is>
      </c>
      <c r="K67" s="33" t="inlineStr">
        <is>
          <t>Объёмный/тяжёлый → FBA дороже. Дом/пляж/спорт.</t>
        </is>
      </c>
      <c r="L67" s="19" t="n"/>
    </row>
    <row r="68">
      <c r="A68" s="19" t="inlineStr">
        <is>
          <t>Блоки для йоги (пара)</t>
        </is>
      </c>
      <c r="B68" s="19" t="inlineStr"/>
      <c r="C68" s="19" t="n"/>
      <c r="D68" s="29" t="n">
        <v>15</v>
      </c>
      <c r="E68" s="30">
        <f>D68*3.6725</f>
        <v/>
      </c>
      <c r="F68" s="22" t="n">
        <v>4000</v>
      </c>
      <c r="G68" s="26">
        <f>ROUND(F68/40,0)</f>
        <v/>
      </c>
      <c r="H68" s="19" t="inlineStr">
        <is>
          <t>🟢 обычный товар</t>
        </is>
      </c>
      <c r="I68" s="32" t="inlineStr">
        <is>
          <t>Низкий</t>
        </is>
      </c>
      <c r="J68" s="21" t="inlineStr">
        <is>
          <t>оценка</t>
        </is>
      </c>
      <c r="K68" s="33" t="inlineStr">
        <is>
          <t>Аналог: аксессуар к коврику, стек-продажа. Лёгкий.</t>
        </is>
      </c>
      <c r="L68" s="19" t="n"/>
    </row>
    <row r="69">
      <c r="A69" s="19" t="inlineStr">
        <is>
          <t>Ремень для йоги (strap)</t>
        </is>
      </c>
      <c r="B69" s="19" t="inlineStr"/>
      <c r="C69" s="19" t="n"/>
      <c r="D69" s="29" t="n">
        <v>10</v>
      </c>
      <c r="E69" s="30">
        <f>D69*3.6725</f>
        <v/>
      </c>
      <c r="F69" s="22" t="n">
        <v>3000</v>
      </c>
      <c r="G69" s="26">
        <f>ROUND(F69/40,0)</f>
        <v/>
      </c>
      <c r="H69" s="19" t="inlineStr">
        <is>
          <t>🟢 обычный товар</t>
        </is>
      </c>
      <c r="I69" s="32" t="inlineStr">
        <is>
          <t>Низкий</t>
        </is>
      </c>
      <c r="J69" s="21" t="inlineStr">
        <is>
          <t>оценка</t>
        </is>
      </c>
      <c r="K69" s="33" t="inlineStr">
        <is>
          <t>Аналог: дёшев, расходно-аксессуарный, в стек.</t>
        </is>
      </c>
      <c r="L69" s="19" t="n"/>
    </row>
    <row r="70">
      <c r="A70" s="19" t="inlineStr">
        <is>
          <t>Колесо для йоги (yoga wheel)</t>
        </is>
      </c>
      <c r="B70" s="19" t="inlineStr"/>
      <c r="C70" s="19" t="n"/>
      <c r="D70" s="29" t="n">
        <v>30</v>
      </c>
      <c r="E70" s="30">
        <f>D70*3.6725</f>
        <v/>
      </c>
      <c r="F70" s="22" t="n">
        <v>2000</v>
      </c>
      <c r="G70" s="26">
        <f>ROUND(F70/40,0)</f>
        <v/>
      </c>
      <c r="H70" s="19" t="inlineStr">
        <is>
          <t>🟢 обычный товар</t>
        </is>
      </c>
      <c r="I70" s="32" t="inlineStr">
        <is>
          <t>Низкий</t>
        </is>
      </c>
      <c r="J70" s="21" t="inlineStr">
        <is>
          <t>оценка</t>
        </is>
      </c>
      <c r="K70" s="33" t="inlineStr">
        <is>
          <t>Аналог: растяжка спины, вирусный. Средний чек.</t>
        </is>
      </c>
      <c r="L70" s="19" t="n"/>
    </row>
    <row r="71">
      <c r="A71" s="19" t="inlineStr">
        <is>
          <t>Эспандеры / резинки (resistance bands)</t>
        </is>
      </c>
      <c r="B71" s="19" t="inlineStr"/>
      <c r="C71" s="19" t="n"/>
      <c r="D71" s="29" t="n">
        <v>20</v>
      </c>
      <c r="E71" s="30">
        <f>D71*3.6725</f>
        <v/>
      </c>
      <c r="F71" s="22" t="n">
        <v>8000</v>
      </c>
      <c r="G71" s="26">
        <f>ROUND(F71/40,0)</f>
        <v/>
      </c>
      <c r="H71" s="19" t="inlineStr">
        <is>
          <t>🟢 обычный товар</t>
        </is>
      </c>
      <c r="I71" s="32" t="inlineStr">
        <is>
          <t>Низкий</t>
        </is>
      </c>
      <c r="J71" s="21" t="inlineStr">
        <is>
          <t>оценка</t>
        </is>
      </c>
      <c r="K71" s="33" t="inlineStr">
        <is>
          <t>Аналог: домашний фитнес, огромный спрос, лёгкий, дёшев в логистике.</t>
        </is>
      </c>
      <c r="L71" s="19" t="n"/>
    </row>
    <row r="72">
      <c r="A72" s="19" t="inlineStr">
        <is>
          <t>Балансировочная подушка / диск</t>
        </is>
      </c>
      <c r="B72" s="19" t="inlineStr"/>
      <c r="C72" s="19" t="n"/>
      <c r="D72" s="29" t="n">
        <v>25</v>
      </c>
      <c r="E72" s="30">
        <f>D72*3.6725</f>
        <v/>
      </c>
      <c r="F72" s="22" t="n">
        <v>3000</v>
      </c>
      <c r="G72" s="26">
        <f>ROUND(F72/40,0)</f>
        <v/>
      </c>
      <c r="H72" s="19" t="inlineStr">
        <is>
          <t>🟢 обычный товар</t>
        </is>
      </c>
      <c r="I72" s="32" t="inlineStr">
        <is>
          <t>Низкий</t>
        </is>
      </c>
      <c r="J72" s="21" t="inlineStr">
        <is>
          <t>оценка</t>
        </is>
      </c>
      <c r="K72" s="33" t="inlineStr">
        <is>
          <t>Аналог: баланс/реабилитация/офис. Средний чек.</t>
        </is>
      </c>
      <c r="L72" s="19" t="n"/>
    </row>
    <row r="73">
      <c r="A73" s="19" t="inlineStr">
        <is>
          <t>Ролик для пресса (ab wheel)</t>
        </is>
      </c>
      <c r="B73" s="19" t="inlineStr"/>
      <c r="C73" s="19" t="n"/>
      <c r="D73" s="29" t="n">
        <v>20</v>
      </c>
      <c r="E73" s="30">
        <f>D73*3.6725</f>
        <v/>
      </c>
      <c r="F73" s="22" t="n">
        <v>4000</v>
      </c>
      <c r="G73" s="26">
        <f>ROUND(F73/40,0)</f>
        <v/>
      </c>
      <c r="H73" s="19" t="inlineStr">
        <is>
          <t>🟢 обычный товар</t>
        </is>
      </c>
      <c r="I73" s="32" t="inlineStr">
        <is>
          <t>Низкий</t>
        </is>
      </c>
      <c r="J73" s="21" t="inlineStr">
        <is>
          <t>оценка</t>
        </is>
      </c>
      <c r="K73" s="33" t="inlineStr">
        <is>
          <t>Аналог: домашний фитнес, лёгкий, стабильный спрос.</t>
        </is>
      </c>
      <c r="L73" s="19" t="n"/>
    </row>
    <row r="75">
      <c r="A75" s="2" t="inlineStr">
        <is>
          <t>«Данные»: Keepa = продажи US реальные; оценка (оранжевый) = US-объём прикинут, уточни title-поиском в Keepa. Регистрация ОАЭ: 🟢 обычный товар (легко) · 🟡 электроника (сертификация/G-mark) · 🔴 мед.изделие (MOHAP). ★ в комментарии = приоритетно для ОАЭ (климат/тренд/лёгкий вход).</t>
        </is>
      </c>
    </row>
  </sheetData>
  <hyperlinks>
    <hyperlink xmlns:r="http://schemas.openxmlformats.org/officeDocument/2006/relationships" ref="C3" r:id="rId1"/>
    <hyperlink xmlns:r="http://schemas.openxmlformats.org/officeDocument/2006/relationships" ref="L3" r:id="rId2"/>
    <hyperlink xmlns:r="http://schemas.openxmlformats.org/officeDocument/2006/relationships" ref="C15" r:id="rId3"/>
    <hyperlink xmlns:r="http://schemas.openxmlformats.org/officeDocument/2006/relationships" ref="L15" r:id="rId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ИНСТРУКЦИЯ И ДОПУЩЕНИЯ</t>
        </is>
      </c>
    </row>
    <row r="2">
      <c r="A2" t="inlineStr"/>
    </row>
    <row r="3">
      <c r="A3" s="5" t="inlineStr">
        <is>
          <t>КАК ПОЛЬЗОВАТЬСЯ</t>
        </is>
      </c>
    </row>
    <row r="4">
      <c r="A4" t="inlineStr">
        <is>
          <t>1. Открой лист «Модель». Заполни ЖЁЛТЫЕ ячейки: цена, себестоимость landed, комиссии, реклама.</t>
        </is>
      </c>
    </row>
    <row r="5">
      <c r="A5" t="inlineStr">
        <is>
          <t>2. Внизу впиши «Продажи в США, шт/мес» (из Keepa по конкретному товару) и коэффициент США→ОАЭ.</t>
        </is>
      </c>
    </row>
    <row r="6">
      <c r="A6" t="inlineStr">
        <is>
          <t>3. Смотри ответы: «Юнитов/мес для целевой прибыли», «ВЕРДИКТ по реалистичности», «Капитал на партию».</t>
        </is>
      </c>
    </row>
    <row r="7">
      <c r="A7" t="inlineStr">
        <is>
          <t>4. Лист «Сценарии» — таблицы чувствительности (цена×маржа и продажи США×коэффициент).</t>
        </is>
      </c>
    </row>
    <row r="8">
      <c r="A8" t="inlineStr">
        <is>
          <t>5. Лист «Кандидаты US→ОАЭ» — реальные товары из Keepa с оценкой спроса ОАЭ и барьером входа.</t>
        </is>
      </c>
    </row>
    <row r="9">
      <c r="A9" t="inlineStr"/>
    </row>
    <row r="10">
      <c r="A10" s="5" t="inlineStr">
        <is>
          <t>МЕТОДОЛОГИЯ (по ТЗ)</t>
        </is>
      </c>
    </row>
    <row r="11">
      <c r="A11" t="inlineStr">
        <is>
          <t>• Шаг 1 — проверяем товар в США (Keepa даёт реальные monthly_sold, рейтинг, конкуренцию).</t>
        </is>
      </c>
    </row>
    <row r="12">
      <c r="A12" t="inlineStr">
        <is>
          <t>• Шаг 2 — ОАЭ = основной рынок, но объём меньше: масштабируем ÷K (в ТЗ пример 2000→50, т.е. ÷40).</t>
        </is>
      </c>
    </row>
    <row r="13">
      <c r="A13" t="inlineStr">
        <is>
          <t>• Шаг 3 — считаем юнит-экономику и сколько штук нужно продать для цели 10 000 AED / 3 500 AED прибыли.</t>
        </is>
      </c>
    </row>
    <row r="14">
      <c r="A14" t="inlineStr">
        <is>
          <t>• Шаг 4 — маржа от 30%: модель подсвечивает, добита ли планка 30%.</t>
        </is>
      </c>
    </row>
    <row r="15">
      <c r="A15" t="inlineStr"/>
    </row>
    <row r="16">
      <c r="A16" s="5" t="inlineStr">
        <is>
          <t>ВАЖНО ПРО КОЭФФИЦИЕНТ ÷40</t>
        </is>
      </c>
    </row>
    <row r="17">
      <c r="A17" t="inlineStr">
        <is>
          <t>• Совокупно amazon.com (~$847 млрд/год) больше amazon.ae (~$770 млн/год) примерно в ~1000 раз.</t>
        </is>
      </c>
    </row>
    <row r="18">
      <c r="A18" t="inlineStr">
        <is>
          <t>• Но по КОНКРЕТНОЙ трендовой нише разрыв меньше: ÷40 — оптимистично, реалистичный диапазон ÷40…÷100.</t>
        </is>
      </c>
    </row>
    <row r="19">
      <c r="A19" t="inlineStr">
        <is>
          <t>• Поэтому коэффициент — ВХОД модели: прогони пессимистичный (÷80) и оптимистичный (÷40) сценарии.</t>
        </is>
      </c>
    </row>
    <row r="20">
      <c r="A20" t="inlineStr">
        <is>
          <t>• В ОАЭ спрос на здоровье растёт: поиск «collagen» +5200%, «vitamin C» +4200% (данные рынка).</t>
        </is>
      </c>
    </row>
    <row r="21">
      <c r="A21" t="inlineStr"/>
    </row>
    <row r="22">
      <c r="A22" s="5" t="inlineStr">
        <is>
          <t>ФОКУС: БЕЗ БАД. Регуляторные уровни для не-проглатываемых товаров</t>
        </is>
      </c>
    </row>
    <row r="23">
      <c r="A23" t="inlineStr">
        <is>
          <t>• БАД/добавки ИСКЛЮЧЕНЫ из подбора (по требованию). Ниже — только физические не-проглатываемые товары.</t>
        </is>
      </c>
    </row>
    <row r="24">
      <c r="A24" t="inlineStr">
        <is>
          <t>• ВАЖНО: «не БАД» НЕ значит «без регистрации». Уровни барьера:</t>
        </is>
      </c>
    </row>
    <row r="25">
      <c r="A25" t="inlineStr">
        <is>
          <t xml:space="preserve">   🟢 Обычный товар — бандажи, компрессия, стельки, органайзеры, корректор осанки, акупресс.коврик,</t>
        </is>
      </c>
    </row>
    <row r="26">
      <c r="A26" t="inlineStr">
        <is>
          <t xml:space="preserve">      женская гигиена, аптечка-набор. Нужен трейд-лайсенс + соответствие маркировке (ар/англ). Легче всего.</t>
        </is>
      </c>
    </row>
    <row r="27">
      <c r="A27" t="inlineStr">
        <is>
          <t xml:space="preserve">   🟡 Оральная косметика — отбеливание зубов, паста: регистрация косметики (легче БАД, но нужна).</t>
        </is>
      </c>
    </row>
    <row r="28">
      <c r="A28" t="inlineStr">
        <is>
          <t xml:space="preserve">   🟡 Электроника — массаж-пистолет, электрогрелка, тонометр: сертификация/G-mark на электронику.</t>
        </is>
      </c>
    </row>
    <row r="29">
      <c r="A29" t="inlineStr">
        <is>
          <t xml:space="preserve">   🔴 Мед.изделия — раневые повязки, TENS, глюкометры, тонометры (как мед.прибор): регистрация MOHAP.</t>
        </is>
      </c>
    </row>
    <row r="30">
      <c r="A30" t="inlineStr">
        <is>
          <t>• Вывод: новичку стартовать с 🟢-товаров (бандаж FREETOO, компрессия, органик-гигиена, стельки,</t>
        </is>
      </c>
    </row>
    <row r="31">
      <c r="A31" t="inlineStr">
        <is>
          <t xml:space="preserve">  органайзер). Косметику/электронику/мед.изделия — вторым шагом, когда готов пройти их регистрацию.</t>
        </is>
      </c>
    </row>
    <row r="32">
      <c r="A32" t="inlineStr"/>
    </row>
    <row r="33">
      <c r="A33" s="5" t="inlineStr">
        <is>
          <t>ДОПУЩЕНИЯ ПО УМОЛЧАНИЮ (меняй под себя)</t>
        </is>
      </c>
    </row>
    <row r="34">
      <c r="A34" t="inlineStr">
        <is>
          <t>• Курс USD→AED = 3.6725 (жёсткая привязка дирхама).</t>
        </is>
      </c>
    </row>
    <row r="35">
      <c r="A35" t="inlineStr">
        <is>
          <t>• Реферальная комиссия Amazon.ae для Health/Beauty ≈ 8–15% (взял 15% консервативно).</t>
        </is>
      </c>
    </row>
    <row r="36">
      <c r="A36" t="inlineStr">
        <is>
          <t>• FBA fulfilment и фикс-расходы — ориентировочные; уточни в Seller Central ОАЭ под свой вес/габарит.</t>
        </is>
      </c>
    </row>
    <row r="37">
      <c r="A37" t="inlineStr">
        <is>
          <t>• НДС ОАЭ 5% — собирается сверху цены и перечисляется государству, в чистую прибыль НЕ входит.</t>
        </is>
      </c>
    </row>
    <row r="38">
      <c r="A38" t="inlineStr">
        <is>
          <t>• monthly_sold из Keepa округляется бакетами (500/1K/2K/…); это оценка «куплено за месяц», не точное число.</t>
        </is>
      </c>
    </row>
    <row r="39">
      <c r="A39" t="inlineStr"/>
    </row>
    <row r="40">
      <c r="A40" s="5" t="inlineStr">
        <is>
          <t>ИСТОЧНИКИ ДАННЫХ</t>
        </is>
      </c>
    </row>
    <row r="41">
      <c r="A41" t="inlineStr">
        <is>
          <t>• Keepa Product Finder, категория Health &amp; Household (US, catId 3760901) — продажи/цены/конкуренция.</t>
        </is>
      </c>
    </row>
    <row r="42">
      <c r="A42" t="inlineStr">
        <is>
          <t>• Amazon global revenue (ecommerceDB/Statista) и amazon.ae sales — для оценки масштаба рынков.</t>
        </is>
      </c>
    </row>
    <row r="43">
      <c r="A43" t="inlineStr">
        <is>
          <t>• Dubai Municipality / MOHAP — требования к регистрации БАД (freyr, artixio, dm.gov.ae).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2026-07-15T13:48:10Z</dcterms:created>
  <dcterms:modified xmlns:dcterms="http://purl.org/dc/terms/" xmlns:xsi="http://www.w3.org/2001/XMLSchema-instance" xsi:type="dcterms:W3CDTF">2026-07-15T13:48:10Z</dcterms:modified>
</cp:coreProperties>
</file>