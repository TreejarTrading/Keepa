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одель" sheetId="1" state="visible" r:id="rId1"/>
    <sheet xmlns:r="http://schemas.openxmlformats.org/officeDocument/2006/relationships" name="Юнит-экономика" sheetId="2" state="visible" r:id="rId2"/>
    <sheet xmlns:r="http://schemas.openxmlformats.org/officeDocument/2006/relationships" name="Сценарии" sheetId="3" state="visible" r:id="rId3"/>
    <sheet xmlns:r="http://schemas.openxmlformats.org/officeDocument/2006/relationships" name="Кандидаты US→ОАЭ" sheetId="4" state="visible" r:id="rId4"/>
    <sheet xmlns:r="http://schemas.openxmlformats.org/officeDocument/2006/relationships"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8" borderId="1" pivotButton="0" quotePrefix="0" xfId="0"/>
    <xf numFmtId="3" fontId="0" fillId="8" borderId="1" pivotButton="0" quotePrefix="0" xfId="0"/>
    <xf numFmtId="0" fontId="5" fillId="0" borderId="0" pivotButton="0" quotePrefix="0" xfId="0"/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mazon.com/dp/B089KJTW4V" TargetMode="External" Id="rId1"/><Relationship Type="http://schemas.openxmlformats.org/officeDocument/2006/relationships/hyperlink" Target="https://www.amazon.com/dp/B0DNFTL63F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dp/B089KJTW4V" TargetMode="External" Id="rId1"/><Relationship Type="http://schemas.openxmlformats.org/officeDocument/2006/relationships/hyperlink" Target="https://keepa.com/#!product/1-B089KJTW4V" TargetMode="External" Id="rId2"/><Relationship Type="http://schemas.openxmlformats.org/officeDocument/2006/relationships/hyperlink" Target="https://www.amazon.com/dp/B0DNFTL63F" TargetMode="External" Id="rId3"/><Relationship Type="http://schemas.openxmlformats.org/officeDocument/2006/relationships/hyperlink" Target="https://keepa.com/#!product/1-B0DNFTL63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9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  <col width="9" customWidth="1" min="12" max="12"/>
    <col width="13" customWidth="1" min="13" max="13"/>
    <col width="13" customWidth="1" min="14" max="14"/>
    <col width="10" customWidth="1" min="15" max="15"/>
    <col width="10" customWidth="1" min="16" max="16"/>
    <col width="14" customWidth="1" min="17" max="17"/>
  </cols>
  <sheetData>
    <row r="1">
      <c r="A1" s="1" t="inlineStr">
        <is>
          <t>ЮНИТ-ЭКОНОМИКА ПО ТОВАРАМ — подставляй свои COGS и fees</t>
        </is>
      </c>
    </row>
    <row r="2">
      <c r="A2" s="2" t="inlineStr">
        <is>
          <t>ЖЁЛТЫЕ столбцы (цена, COGS, комиссия %, FBA, PPC, возвраты) — вводишь под свой товар. ЗЕЛЁНЫЕ — считаются формулой. Цель прибыли, фикс и коэффициент берутся с листа «Модель».</t>
        </is>
      </c>
    </row>
    <row r="4" ht="42" customHeight="1">
      <c r="A4" s="17" t="inlineStr">
        <is>
          <t>Товар (не БАД)</t>
        </is>
      </c>
      <c r="B4" s="17" t="inlineStr">
        <is>
          <t>Продажи US, шт/мес</t>
        </is>
      </c>
      <c r="C4" s="17" t="inlineStr">
        <is>
          <t>Цена ОАЭ, AED</t>
        </is>
      </c>
      <c r="D4" s="17" t="inlineStr">
        <is>
          <t>COGS landed, AED</t>
        </is>
      </c>
      <c r="E4" s="17" t="inlineStr">
        <is>
          <t>Комиссия Amazon, %</t>
        </is>
      </c>
      <c r="F4" s="17" t="inlineStr">
        <is>
          <t>FBA, AED</t>
        </is>
      </c>
      <c r="G4" s="17" t="inlineStr">
        <is>
          <t>PPC, AED</t>
        </is>
      </c>
      <c r="H4" s="17" t="inlineStr">
        <is>
          <t>Возвраты, %</t>
        </is>
      </c>
      <c r="I4" s="17" t="inlineStr">
        <is>
          <t>Комиссия, AED</t>
        </is>
      </c>
      <c r="J4" s="17" t="inlineStr">
        <is>
          <t>Перем. затраты, AED</t>
        </is>
      </c>
      <c r="K4" s="17" t="inlineStr">
        <is>
          <t>Валовая приб./шт, AED</t>
        </is>
      </c>
      <c r="L4" s="17" t="inlineStr">
        <is>
          <t>Маржа, %</t>
        </is>
      </c>
      <c r="M4" s="17" t="inlineStr">
        <is>
          <t>Юнитов/мес для цели</t>
        </is>
      </c>
      <c r="N4" s="17" t="inlineStr">
        <is>
          <t>Спрос ОАЭ, шт/мес</t>
        </is>
      </c>
      <c r="O4" s="17" t="inlineStr">
        <is>
          <t>Доля ниши</t>
        </is>
      </c>
      <c r="P4" s="17" t="inlineStr">
        <is>
          <t>Вердикт</t>
        </is>
      </c>
      <c r="Q4" s="17" t="inlineStr">
        <is>
          <t>ASIN (Amazon)</t>
        </is>
      </c>
    </row>
    <row r="5">
      <c r="A5" s="18" t="inlineStr">
        <is>
          <t>▸ Массаж и восстановление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19" t="inlineStr">
        <is>
          <t>Массажный пистолет (percussion) (TOLOCO/RENPHO)</t>
        </is>
      </c>
      <c r="B6" s="13" t="n">
        <v>4000</v>
      </c>
      <c r="C6" s="7" t="n">
        <v>220.31</v>
      </c>
      <c r="D6" s="7" t="n">
        <v>66.09</v>
      </c>
      <c r="E6" s="8" t="n">
        <v>0.15</v>
      </c>
      <c r="F6" s="7" t="n">
        <v>12</v>
      </c>
      <c r="G6" s="7" t="n">
        <v>12</v>
      </c>
      <c r="H6" s="8" t="n">
        <v>0.03</v>
      </c>
      <c r="I6" s="9">
        <f>C6*E6</f>
        <v/>
      </c>
      <c r="J6" s="9">
        <f>D6+I6+F6+G6+C6*H6</f>
        <v/>
      </c>
      <c r="K6" s="9">
        <f>C6-J6</f>
        <v/>
      </c>
      <c r="L6" s="10">
        <f>K6/C6</f>
        <v/>
      </c>
      <c r="M6" s="12">
        <f>IF(K6&lt;=0,"—",ROUNDUP((Модель!$B$6+Модель!$B$24)/K6,0))</f>
        <v/>
      </c>
      <c r="N6" s="12">
        <f>ROUND(B6/Модель!$B$32,0)</f>
        <v/>
      </c>
      <c r="O6" s="10">
        <f>IF(OR(N6=0,K6&lt;=0),"—",M6/N6)</f>
        <v/>
      </c>
      <c r="P6" s="11">
        <f>IF(K6&lt;=0,"цена≤затрат",IF(M6&lt;=N6*0.3,"✅ реально",IF(M6&lt;=N6,"⚠️ напряжно","❌ стек SKU")))</f>
        <v/>
      </c>
      <c r="Q6" s="20" t="inlineStr">
        <is>
          <t>B089KJTW4V</t>
        </is>
      </c>
    </row>
    <row r="7">
      <c r="A7" s="21" t="inlineStr">
        <is>
          <t>Массажёр для шеи (шиацу)</t>
        </is>
      </c>
      <c r="B7" s="22" t="n">
        <v>2500</v>
      </c>
      <c r="C7" s="7" t="n">
        <v>146.9</v>
      </c>
      <c r="D7" s="7" t="n">
        <v>44.07</v>
      </c>
      <c r="E7" s="8" t="n">
        <v>0.15</v>
      </c>
      <c r="F7" s="7" t="n">
        <v>12</v>
      </c>
      <c r="G7" s="7" t="n">
        <v>12</v>
      </c>
      <c r="H7" s="8" t="n">
        <v>0.03</v>
      </c>
      <c r="I7" s="9">
        <f>C7*E7</f>
        <v/>
      </c>
      <c r="J7" s="9">
        <f>D7+I7+F7+G7+C7*H7</f>
        <v/>
      </c>
      <c r="K7" s="9">
        <f>C7-J7</f>
        <v/>
      </c>
      <c r="L7" s="10">
        <f>K7/C7</f>
        <v/>
      </c>
      <c r="M7" s="12">
        <f>IF(K7&lt;=0,"—",ROUNDUP((Модель!$B$6+Модель!$B$24)/K7,0))</f>
        <v/>
      </c>
      <c r="N7" s="12">
        <f>ROUND(B7/Модель!$B$32,0)</f>
        <v/>
      </c>
      <c r="O7" s="10">
        <f>IF(OR(N7=0,K7&lt;=0),"—",M7/N7)</f>
        <v/>
      </c>
      <c r="P7" s="11">
        <f>IF(K7&lt;=0,"цена≤затрат",IF(M7&lt;=N7*0.3,"✅ реально",IF(M7&lt;=N7,"⚠️ напряжно","❌ стек SKU")))</f>
        <v/>
      </c>
    </row>
    <row r="8">
      <c r="A8" s="21" t="inlineStr">
        <is>
          <t>Массажёр для ног</t>
        </is>
      </c>
      <c r="B8" s="22" t="n">
        <v>1500</v>
      </c>
      <c r="C8" s="7" t="n">
        <v>257.07</v>
      </c>
      <c r="D8" s="7" t="n">
        <v>77.12</v>
      </c>
      <c r="E8" s="8" t="n">
        <v>0.15</v>
      </c>
      <c r="F8" s="7" t="n">
        <v>12</v>
      </c>
      <c r="G8" s="7" t="n">
        <v>12</v>
      </c>
      <c r="H8" s="8" t="n">
        <v>0.03</v>
      </c>
      <c r="I8" s="9">
        <f>C8*E8</f>
        <v/>
      </c>
      <c r="J8" s="9">
        <f>D8+I8+F8+G8+C8*H8</f>
        <v/>
      </c>
      <c r="K8" s="9">
        <f>C8-J8</f>
        <v/>
      </c>
      <c r="L8" s="10">
        <f>K8/C8</f>
        <v/>
      </c>
      <c r="M8" s="12">
        <f>IF(K8&lt;=0,"—",ROUNDUP((Модель!$B$6+Модель!$B$24)/K8,0))</f>
        <v/>
      </c>
      <c r="N8" s="12">
        <f>ROUND(B8/Модель!$B$32,0)</f>
        <v/>
      </c>
      <c r="O8" s="10">
        <f>IF(OR(N8=0,K8&lt;=0),"—",M8/N8)</f>
        <v/>
      </c>
      <c r="P8" s="11">
        <f>IF(K8&lt;=0,"цена≤затрат",IF(M8&lt;=N8*0.3,"✅ реально",IF(M8&lt;=N8,"⚠️ напряжно","❌ стек SKU")))</f>
        <v/>
      </c>
    </row>
    <row r="9">
      <c r="A9" s="21" t="inlineStr">
        <is>
          <t>Массажная подушка (шиацу)</t>
        </is>
      </c>
      <c r="B9" s="22" t="n">
        <v>2000</v>
      </c>
      <c r="C9" s="7" t="n">
        <v>165.26</v>
      </c>
      <c r="D9" s="7" t="n">
        <v>49.58</v>
      </c>
      <c r="E9" s="8" t="n">
        <v>0.15</v>
      </c>
      <c r="F9" s="7" t="n">
        <v>12</v>
      </c>
      <c r="G9" s="7" t="n">
        <v>12</v>
      </c>
      <c r="H9" s="8" t="n">
        <v>0.03</v>
      </c>
      <c r="I9" s="9">
        <f>C9*E9</f>
        <v/>
      </c>
      <c r="J9" s="9">
        <f>D9+I9+F9+G9+C9*H9</f>
        <v/>
      </c>
      <c r="K9" s="9">
        <f>C9-J9</f>
        <v/>
      </c>
      <c r="L9" s="10">
        <f>K9/C9</f>
        <v/>
      </c>
      <c r="M9" s="12">
        <f>IF(K9&lt;=0,"—",ROUNDUP((Модель!$B$6+Модель!$B$24)/K9,0))</f>
        <v/>
      </c>
      <c r="N9" s="12">
        <f>ROUND(B9/Модель!$B$32,0)</f>
        <v/>
      </c>
      <c r="O9" s="10">
        <f>IF(OR(N9=0,K9&lt;=0),"—",M9/N9)</f>
        <v/>
      </c>
      <c r="P9" s="11">
        <f>IF(K9&lt;=0,"цена≤затрат",IF(M9&lt;=N9*0.3,"✅ реально",IF(M9&lt;=N9,"⚠️ напряжно","❌ стек SKU")))</f>
        <v/>
      </c>
    </row>
    <row r="10">
      <c r="A10" s="21" t="inlineStr">
        <is>
          <t>Массажный ролик (foam roller) / ролик для йоги</t>
        </is>
      </c>
      <c r="B10" s="22" t="n">
        <v>5000</v>
      </c>
      <c r="C10" s="7" t="n">
        <v>91.81</v>
      </c>
      <c r="D10" s="7" t="n">
        <v>27.54</v>
      </c>
      <c r="E10" s="8" t="n">
        <v>0.15</v>
      </c>
      <c r="F10" s="7" t="n">
        <v>12</v>
      </c>
      <c r="G10" s="7" t="n">
        <v>12</v>
      </c>
      <c r="H10" s="8" t="n">
        <v>0.03</v>
      </c>
      <c r="I10" s="9">
        <f>C10*E10</f>
        <v/>
      </c>
      <c r="J10" s="9">
        <f>D10+I10+F10+G10+C10*H10</f>
        <v/>
      </c>
      <c r="K10" s="9">
        <f>C10-J10</f>
        <v/>
      </c>
      <c r="L10" s="10">
        <f>K10/C10</f>
        <v/>
      </c>
      <c r="M10" s="12">
        <f>IF(K10&lt;=0,"—",ROUNDUP((Модель!$B$6+Модель!$B$24)/K10,0))</f>
        <v/>
      </c>
      <c r="N10" s="12">
        <f>ROUND(B10/Модель!$B$32,0)</f>
        <v/>
      </c>
      <c r="O10" s="10">
        <f>IF(OR(N10=0,K10&lt;=0),"—",M10/N10)</f>
        <v/>
      </c>
      <c r="P10" s="11">
        <f>IF(K10&lt;=0,"цена≤затрат",IF(M10&lt;=N10*0.3,"✅ реально",IF(M10&lt;=N10,"⚠️ напряжно","❌ стек SKU")))</f>
        <v/>
      </c>
    </row>
    <row r="11">
      <c r="A11" s="21" t="inlineStr">
        <is>
          <t>Массажный мяч</t>
        </is>
      </c>
      <c r="B11" s="22" t="n">
        <v>3000</v>
      </c>
      <c r="C11" s="7" t="n">
        <v>47.74</v>
      </c>
      <c r="D11" s="7" t="n">
        <v>14.32</v>
      </c>
      <c r="E11" s="8" t="n">
        <v>0.15</v>
      </c>
      <c r="F11" s="7" t="n">
        <v>12</v>
      </c>
      <c r="G11" s="7" t="n">
        <v>12</v>
      </c>
      <c r="H11" s="8" t="n">
        <v>0.03</v>
      </c>
      <c r="I11" s="9">
        <f>C11*E11</f>
        <v/>
      </c>
      <c r="J11" s="9">
        <f>D11+I11+F11+G11+C11*H11</f>
        <v/>
      </c>
      <c r="K11" s="9">
        <f>C11-J11</f>
        <v/>
      </c>
      <c r="L11" s="10">
        <f>K11/C11</f>
        <v/>
      </c>
      <c r="M11" s="12">
        <f>IF(K11&lt;=0,"—",ROUNDUP((Модель!$B$6+Модель!$B$24)/K11,0))</f>
        <v/>
      </c>
      <c r="N11" s="12">
        <f>ROUND(B11/Модель!$B$32,0)</f>
        <v/>
      </c>
      <c r="O11" s="10">
        <f>IF(OR(N11=0,K11&lt;=0),"—",M11/N11)</f>
        <v/>
      </c>
      <c r="P11" s="11">
        <f>IF(K11&lt;=0,"цена≤затрат",IF(M11&lt;=N11*0.3,"✅ реально",IF(M11&lt;=N11,"⚠️ напряжно","❌ стек SKU")))</f>
        <v/>
      </c>
    </row>
    <row r="12">
      <c r="A12" s="18" t="inlineStr">
        <is>
          <t>▸ Ортопедия и поддержка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</row>
    <row r="13">
      <c r="A13" s="19" t="inlineStr">
        <is>
          <t>Фиксатор запястья / карпал-туннель (FREETOO)</t>
        </is>
      </c>
      <c r="B13" s="13" t="n">
        <v>3000</v>
      </c>
      <c r="C13" s="7" t="n">
        <v>73.27</v>
      </c>
      <c r="D13" s="7" t="n">
        <v>21.98</v>
      </c>
      <c r="E13" s="8" t="n">
        <v>0.15</v>
      </c>
      <c r="F13" s="7" t="n">
        <v>12</v>
      </c>
      <c r="G13" s="7" t="n">
        <v>12</v>
      </c>
      <c r="H13" s="8" t="n">
        <v>0.03</v>
      </c>
      <c r="I13" s="9">
        <f>C13*E13</f>
        <v/>
      </c>
      <c r="J13" s="9">
        <f>D13+I13+F13+G13+C13*H13</f>
        <v/>
      </c>
      <c r="K13" s="9">
        <f>C13-J13</f>
        <v/>
      </c>
      <c r="L13" s="10">
        <f>K13/C13</f>
        <v/>
      </c>
      <c r="M13" s="12">
        <f>IF(K13&lt;=0,"—",ROUNDUP((Модель!$B$6+Модель!$B$24)/K13,0))</f>
        <v/>
      </c>
      <c r="N13" s="12">
        <f>ROUND(B13/Модель!$B$32,0)</f>
        <v/>
      </c>
      <c r="O13" s="10">
        <f>IF(OR(N13=0,K13&lt;=0),"—",M13/N13)</f>
        <v/>
      </c>
      <c r="P13" s="11">
        <f>IF(K13&lt;=0,"цена≤затрат",IF(M13&lt;=N13*0.3,"✅ реально",IF(M13&lt;=N13,"⚠️ напряжно","❌ стек SKU")))</f>
        <v/>
      </c>
      <c r="Q13" s="20" t="inlineStr">
        <is>
          <t>B0DNFTL63F</t>
        </is>
      </c>
    </row>
    <row r="14">
      <c r="A14" s="21" t="inlineStr">
        <is>
          <t>Наколенник</t>
        </is>
      </c>
      <c r="B14" s="22" t="n">
        <v>5000</v>
      </c>
      <c r="C14" s="7" t="n">
        <v>73.45</v>
      </c>
      <c r="D14" s="7" t="n">
        <v>22.04</v>
      </c>
      <c r="E14" s="8" t="n">
        <v>0.15</v>
      </c>
      <c r="F14" s="7" t="n">
        <v>12</v>
      </c>
      <c r="G14" s="7" t="n">
        <v>12</v>
      </c>
      <c r="H14" s="8" t="n">
        <v>0.03</v>
      </c>
      <c r="I14" s="9">
        <f>C14*E14</f>
        <v/>
      </c>
      <c r="J14" s="9">
        <f>D14+I14+F14+G14+C14*H14</f>
        <v/>
      </c>
      <c r="K14" s="9">
        <f>C14-J14</f>
        <v/>
      </c>
      <c r="L14" s="10">
        <f>K14/C14</f>
        <v/>
      </c>
      <c r="M14" s="12">
        <f>IF(K14&lt;=0,"—",ROUNDUP((Модель!$B$6+Модель!$B$24)/K14,0))</f>
        <v/>
      </c>
      <c r="N14" s="12">
        <f>ROUND(B14/Модель!$B$32,0)</f>
        <v/>
      </c>
      <c r="O14" s="10">
        <f>IF(OR(N14=0,K14&lt;=0),"—",M14/N14)</f>
        <v/>
      </c>
      <c r="P14" s="11">
        <f>IF(K14&lt;=0,"цена≤затрат",IF(M14&lt;=N14*0.3,"✅ реально",IF(M14&lt;=N14,"⚠️ напряжно","❌ стек SKU")))</f>
        <v/>
      </c>
    </row>
    <row r="15">
      <c r="A15" s="21" t="inlineStr">
        <is>
          <t>Фиксатор голеностопа</t>
        </is>
      </c>
      <c r="B15" s="22" t="n">
        <v>3000</v>
      </c>
      <c r="C15" s="7" t="n">
        <v>66.11</v>
      </c>
      <c r="D15" s="7" t="n">
        <v>19.83</v>
      </c>
      <c r="E15" s="8" t="n">
        <v>0.15</v>
      </c>
      <c r="F15" s="7" t="n">
        <v>12</v>
      </c>
      <c r="G15" s="7" t="n">
        <v>12</v>
      </c>
      <c r="H15" s="8" t="n">
        <v>0.03</v>
      </c>
      <c r="I15" s="9">
        <f>C15*E15</f>
        <v/>
      </c>
      <c r="J15" s="9">
        <f>D15+I15+F15+G15+C15*H15</f>
        <v/>
      </c>
      <c r="K15" s="9">
        <f>C15-J15</f>
        <v/>
      </c>
      <c r="L15" s="10">
        <f>K15/C15</f>
        <v/>
      </c>
      <c r="M15" s="12">
        <f>IF(K15&lt;=0,"—",ROUNDUP((Модель!$B$6+Модель!$B$24)/K15,0))</f>
        <v/>
      </c>
      <c r="N15" s="12">
        <f>ROUND(B15/Модель!$B$32,0)</f>
        <v/>
      </c>
      <c r="O15" s="10">
        <f>IF(OR(N15=0,K15&lt;=0),"—",M15/N15)</f>
        <v/>
      </c>
      <c r="P15" s="11">
        <f>IF(K15&lt;=0,"цена≤затрат",IF(M15&lt;=N15*0.3,"✅ реально",IF(M15&lt;=N15,"⚠️ напряжно","❌ стек SKU")))</f>
        <v/>
      </c>
    </row>
    <row r="16">
      <c r="A16" s="21" t="inlineStr">
        <is>
          <t>Поясничный пояс / поддержка спины</t>
        </is>
      </c>
      <c r="B16" s="22" t="n">
        <v>3000</v>
      </c>
      <c r="C16" s="7" t="n">
        <v>110.17</v>
      </c>
      <c r="D16" s="7" t="n">
        <v>33.05</v>
      </c>
      <c r="E16" s="8" t="n">
        <v>0.15</v>
      </c>
      <c r="F16" s="7" t="n">
        <v>12</v>
      </c>
      <c r="G16" s="7" t="n">
        <v>12</v>
      </c>
      <c r="H16" s="8" t="n">
        <v>0.03</v>
      </c>
      <c r="I16" s="9">
        <f>C16*E16</f>
        <v/>
      </c>
      <c r="J16" s="9">
        <f>D16+I16+F16+G16+C16*H16</f>
        <v/>
      </c>
      <c r="K16" s="9">
        <f>C16-J16</f>
        <v/>
      </c>
      <c r="L16" s="10">
        <f>K16/C16</f>
        <v/>
      </c>
      <c r="M16" s="12">
        <f>IF(K16&lt;=0,"—",ROUNDUP((Модель!$B$6+Модель!$B$24)/K16,0))</f>
        <v/>
      </c>
      <c r="N16" s="12">
        <f>ROUND(B16/Модель!$B$32,0)</f>
        <v/>
      </c>
      <c r="O16" s="10">
        <f>IF(OR(N16=0,K16&lt;=0),"—",M16/N16)</f>
        <v/>
      </c>
      <c r="P16" s="11">
        <f>IF(K16&lt;=0,"цена≤затрат",IF(M16&lt;=N16*0.3,"✅ реально",IF(M16&lt;=N16,"⚠️ напряжно","❌ стек SKU")))</f>
        <v/>
      </c>
    </row>
    <row r="17">
      <c r="A17" s="21" t="inlineStr">
        <is>
          <t>Корректор осанки</t>
        </is>
      </c>
      <c r="B17" s="22" t="n">
        <v>5000</v>
      </c>
      <c r="C17" s="7" t="n">
        <v>102.83</v>
      </c>
      <c r="D17" s="7" t="n">
        <v>30.85</v>
      </c>
      <c r="E17" s="8" t="n">
        <v>0.15</v>
      </c>
      <c r="F17" s="7" t="n">
        <v>12</v>
      </c>
      <c r="G17" s="7" t="n">
        <v>12</v>
      </c>
      <c r="H17" s="8" t="n">
        <v>0.03</v>
      </c>
      <c r="I17" s="9">
        <f>C17*E17</f>
        <v/>
      </c>
      <c r="J17" s="9">
        <f>D17+I17+F17+G17+C17*H17</f>
        <v/>
      </c>
      <c r="K17" s="9">
        <f>C17-J17</f>
        <v/>
      </c>
      <c r="L17" s="10">
        <f>K17/C17</f>
        <v/>
      </c>
      <c r="M17" s="12">
        <f>IF(K17&lt;=0,"—",ROUNDUP((Модель!$B$6+Модель!$B$24)/K17,0))</f>
        <v/>
      </c>
      <c r="N17" s="12">
        <f>ROUND(B17/Модель!$B$32,0)</f>
        <v/>
      </c>
      <c r="O17" s="10">
        <f>IF(OR(N17=0,K17&lt;=0),"—",M17/N17)</f>
        <v/>
      </c>
      <c r="P17" s="11">
        <f>IF(K17&lt;=0,"цена≤затрат",IF(M17&lt;=N17*0.3,"✅ реально",IF(M17&lt;=N17,"⚠️ напряжно","❌ стек SKU")))</f>
        <v/>
      </c>
    </row>
    <row r="18">
      <c r="A18" s="21" t="inlineStr">
        <is>
          <t>Компрессионные носки (перелёты/стоя)</t>
        </is>
      </c>
      <c r="B18" s="22" t="n">
        <v>5000</v>
      </c>
      <c r="C18" s="7" t="n">
        <v>73.45</v>
      </c>
      <c r="D18" s="7" t="n">
        <v>22.04</v>
      </c>
      <c r="E18" s="8" t="n">
        <v>0.15</v>
      </c>
      <c r="F18" s="7" t="n">
        <v>12</v>
      </c>
      <c r="G18" s="7" t="n">
        <v>12</v>
      </c>
      <c r="H18" s="8" t="n">
        <v>0.03</v>
      </c>
      <c r="I18" s="9">
        <f>C18*E18</f>
        <v/>
      </c>
      <c r="J18" s="9">
        <f>D18+I18+F18+G18+C18*H18</f>
        <v/>
      </c>
      <c r="K18" s="9">
        <f>C18-J18</f>
        <v/>
      </c>
      <c r="L18" s="10">
        <f>K18/C18</f>
        <v/>
      </c>
      <c r="M18" s="12">
        <f>IF(K18&lt;=0,"—",ROUNDUP((Модель!$B$6+Модель!$B$24)/K18,0))</f>
        <v/>
      </c>
      <c r="N18" s="12">
        <f>ROUND(B18/Модель!$B$32,0)</f>
        <v/>
      </c>
      <c r="O18" s="10">
        <f>IF(OR(N18=0,K18&lt;=0),"—",M18/N18)</f>
        <v/>
      </c>
      <c r="P18" s="11">
        <f>IF(K18&lt;=0,"цена≤затрат",IF(M18&lt;=N18*0.3,"✅ реально",IF(M18&lt;=N18,"⚠️ напряжно","❌ стек SKU")))</f>
        <v/>
      </c>
    </row>
    <row r="19">
      <c r="A19" s="18" t="inlineStr">
        <is>
          <t>▸ Сон и комфорт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</row>
    <row r="20">
      <c r="A20" s="21" t="inlineStr">
        <is>
          <t>Маска для сна</t>
        </is>
      </c>
      <c r="B20" s="22" t="n">
        <v>8000</v>
      </c>
      <c r="C20" s="7" t="n">
        <v>55.09</v>
      </c>
      <c r="D20" s="7" t="n">
        <v>16.53</v>
      </c>
      <c r="E20" s="8" t="n">
        <v>0.15</v>
      </c>
      <c r="F20" s="7" t="n">
        <v>12</v>
      </c>
      <c r="G20" s="7" t="n">
        <v>12</v>
      </c>
      <c r="H20" s="8" t="n">
        <v>0.03</v>
      </c>
      <c r="I20" s="9">
        <f>C20*E20</f>
        <v/>
      </c>
      <c r="J20" s="9">
        <f>D20+I20+F20+G20+C20*H20</f>
        <v/>
      </c>
      <c r="K20" s="9">
        <f>C20-J20</f>
        <v/>
      </c>
      <c r="L20" s="10">
        <f>K20/C20</f>
        <v/>
      </c>
      <c r="M20" s="12">
        <f>IF(K20&lt;=0,"—",ROUNDUP((Модель!$B$6+Модель!$B$24)/K20,0))</f>
        <v/>
      </c>
      <c r="N20" s="12">
        <f>ROUND(B20/Модель!$B$32,0)</f>
        <v/>
      </c>
      <c r="O20" s="10">
        <f>IF(OR(N20=0,K20&lt;=0),"—",M20/N20)</f>
        <v/>
      </c>
      <c r="P20" s="11">
        <f>IF(K20&lt;=0,"цена≤затрат",IF(M20&lt;=N20*0.3,"✅ реально",IF(M20&lt;=N20,"⚠️ напряжно","❌ стек SKU")))</f>
        <v/>
      </c>
    </row>
    <row r="21">
      <c r="A21" s="21" t="inlineStr">
        <is>
          <t>Подушка между ног</t>
        </is>
      </c>
      <c r="B21" s="22" t="n">
        <v>5000</v>
      </c>
      <c r="C21" s="7" t="n">
        <v>110.17</v>
      </c>
      <c r="D21" s="7" t="n">
        <v>33.05</v>
      </c>
      <c r="E21" s="8" t="n">
        <v>0.15</v>
      </c>
      <c r="F21" s="7" t="n">
        <v>12</v>
      </c>
      <c r="G21" s="7" t="n">
        <v>12</v>
      </c>
      <c r="H21" s="8" t="n">
        <v>0.03</v>
      </c>
      <c r="I21" s="9">
        <f>C21*E21</f>
        <v/>
      </c>
      <c r="J21" s="9">
        <f>D21+I21+F21+G21+C21*H21</f>
        <v/>
      </c>
      <c r="K21" s="9">
        <f>C21-J21</f>
        <v/>
      </c>
      <c r="L21" s="10">
        <f>K21/C21</f>
        <v/>
      </c>
      <c r="M21" s="12">
        <f>IF(K21&lt;=0,"—",ROUNDUP((Модель!$B$6+Модель!$B$24)/K21,0))</f>
        <v/>
      </c>
      <c r="N21" s="12">
        <f>ROUND(B21/Модель!$B$32,0)</f>
        <v/>
      </c>
      <c r="O21" s="10">
        <f>IF(OR(N21=0,K21&lt;=0),"—",M21/N21)</f>
        <v/>
      </c>
      <c r="P21" s="11">
        <f>IF(K21&lt;=0,"цена≤затрат",IF(M21&lt;=N21*0.3,"✅ реально",IF(M21&lt;=N21,"⚠️ напряжно","❌ стек SKU")))</f>
        <v/>
      </c>
    </row>
    <row r="22">
      <c r="A22" s="21" t="inlineStr">
        <is>
          <t>Клиновидная подушка (wedge)</t>
        </is>
      </c>
      <c r="B22" s="22" t="n">
        <v>4000</v>
      </c>
      <c r="C22" s="7" t="n">
        <v>146.9</v>
      </c>
      <c r="D22" s="7" t="n">
        <v>44.07</v>
      </c>
      <c r="E22" s="8" t="n">
        <v>0.15</v>
      </c>
      <c r="F22" s="7" t="n">
        <v>12</v>
      </c>
      <c r="G22" s="7" t="n">
        <v>12</v>
      </c>
      <c r="H22" s="8" t="n">
        <v>0.03</v>
      </c>
      <c r="I22" s="9">
        <f>C22*E22</f>
        <v/>
      </c>
      <c r="J22" s="9">
        <f>D22+I22+F22+G22+C22*H22</f>
        <v/>
      </c>
      <c r="K22" s="9">
        <f>C22-J22</f>
        <v/>
      </c>
      <c r="L22" s="10">
        <f>K22/C22</f>
        <v/>
      </c>
      <c r="M22" s="12">
        <f>IF(K22&lt;=0,"—",ROUNDUP((Модель!$B$6+Модель!$B$24)/K22,0))</f>
        <v/>
      </c>
      <c r="N22" s="12">
        <f>ROUND(B22/Модель!$B$32,0)</f>
        <v/>
      </c>
      <c r="O22" s="10">
        <f>IF(OR(N22=0,K22&lt;=0),"—",M22/N22)</f>
        <v/>
      </c>
      <c r="P22" s="11">
        <f>IF(K22&lt;=0,"цена≤затрат",IF(M22&lt;=N22*0.3,"✅ реально",IF(M22&lt;=N22,"⚠️ напряжно","❌ стек SKU")))</f>
        <v/>
      </c>
    </row>
    <row r="23">
      <c r="A23" s="21" t="inlineStr">
        <is>
          <t>Утяжелённое одеяло</t>
        </is>
      </c>
      <c r="B23" s="22" t="n">
        <v>5000</v>
      </c>
      <c r="C23" s="7" t="n">
        <v>183.62</v>
      </c>
      <c r="D23" s="7" t="n">
        <v>55.09</v>
      </c>
      <c r="E23" s="8" t="n">
        <v>0.15</v>
      </c>
      <c r="F23" s="7" t="n">
        <v>12</v>
      </c>
      <c r="G23" s="7" t="n">
        <v>12</v>
      </c>
      <c r="H23" s="8" t="n">
        <v>0.03</v>
      </c>
      <c r="I23" s="9">
        <f>C23*E23</f>
        <v/>
      </c>
      <c r="J23" s="9">
        <f>D23+I23+F23+G23+C23*H23</f>
        <v/>
      </c>
      <c r="K23" s="9">
        <f>C23-J23</f>
        <v/>
      </c>
      <c r="L23" s="10">
        <f>K23/C23</f>
        <v/>
      </c>
      <c r="M23" s="12">
        <f>IF(K23&lt;=0,"—",ROUNDUP((Модель!$B$6+Модель!$B$24)/K23,0))</f>
        <v/>
      </c>
      <c r="N23" s="12">
        <f>ROUND(B23/Модель!$B$32,0)</f>
        <v/>
      </c>
      <c r="O23" s="10">
        <f>IF(OR(N23=0,K23&lt;=0),"—",M23/N23)</f>
        <v/>
      </c>
      <c r="P23" s="11">
        <f>IF(K23&lt;=0,"цена≤затрат",IF(M23&lt;=N23*0.3,"✅ реально",IF(M23&lt;=N23,"⚠️ напряжно","❌ стек SKU")))</f>
        <v/>
      </c>
    </row>
    <row r="24">
      <c r="A24" s="21" t="inlineStr">
        <is>
          <t>Устройство белого шума</t>
        </is>
      </c>
      <c r="B24" s="22" t="n">
        <v>4000</v>
      </c>
      <c r="C24" s="7" t="n">
        <v>165.26</v>
      </c>
      <c r="D24" s="7" t="n">
        <v>49.58</v>
      </c>
      <c r="E24" s="8" t="n">
        <v>0.15</v>
      </c>
      <c r="F24" s="7" t="n">
        <v>12</v>
      </c>
      <c r="G24" s="7" t="n">
        <v>12</v>
      </c>
      <c r="H24" s="8" t="n">
        <v>0.03</v>
      </c>
      <c r="I24" s="9">
        <f>C24*E24</f>
        <v/>
      </c>
      <c r="J24" s="9">
        <f>D24+I24+F24+G24+C24*H24</f>
        <v/>
      </c>
      <c r="K24" s="9">
        <f>C24-J24</f>
        <v/>
      </c>
      <c r="L24" s="10">
        <f>K24/C24</f>
        <v/>
      </c>
      <c r="M24" s="12">
        <f>IF(K24&lt;=0,"—",ROUNDUP((Модель!$B$6+Модель!$B$24)/K24,0))</f>
        <v/>
      </c>
      <c r="N24" s="12">
        <f>ROUND(B24/Модель!$B$32,0)</f>
        <v/>
      </c>
      <c r="O24" s="10">
        <f>IF(OR(N24=0,K24&lt;=0),"—",M24/N24)</f>
        <v/>
      </c>
      <c r="P24" s="11">
        <f>IF(K24&lt;=0,"цена≤затрат",IF(M24&lt;=N24*0.3,"✅ реально",IF(M24&lt;=N24,"⚠️ напряжно","❌ стек SKU")))</f>
        <v/>
      </c>
    </row>
    <row r="25">
      <c r="A25" s="21" t="inlineStr">
        <is>
          <t>Поясничная подушка для авто/офиса</t>
        </is>
      </c>
      <c r="B25" s="22" t="n">
        <v>4000</v>
      </c>
      <c r="C25" s="7" t="n">
        <v>110.17</v>
      </c>
      <c r="D25" s="7" t="n">
        <v>33.05</v>
      </c>
      <c r="E25" s="8" t="n">
        <v>0.15</v>
      </c>
      <c r="F25" s="7" t="n">
        <v>12</v>
      </c>
      <c r="G25" s="7" t="n">
        <v>12</v>
      </c>
      <c r="H25" s="8" t="n">
        <v>0.03</v>
      </c>
      <c r="I25" s="9">
        <f>C25*E25</f>
        <v/>
      </c>
      <c r="J25" s="9">
        <f>D25+I25+F25+G25+C25*H25</f>
        <v/>
      </c>
      <c r="K25" s="9">
        <f>C25-J25</f>
        <v/>
      </c>
      <c r="L25" s="10">
        <f>K25/C25</f>
        <v/>
      </c>
      <c r="M25" s="12">
        <f>IF(K25&lt;=0,"—",ROUNDUP((Модель!$B$6+Модель!$B$24)/K25,0))</f>
        <v/>
      </c>
      <c r="N25" s="12">
        <f>ROUND(B25/Модель!$B$32,0)</f>
        <v/>
      </c>
      <c r="O25" s="10">
        <f>IF(OR(N25=0,K25&lt;=0),"—",M25/N25)</f>
        <v/>
      </c>
      <c r="P25" s="11">
        <f>IF(K25&lt;=0,"цена≤затрат",IF(M25&lt;=N25*0.3,"✅ реально",IF(M25&lt;=N25,"⚠️ напряжно","❌ стек SKU")))</f>
        <v/>
      </c>
    </row>
    <row r="26">
      <c r="A26" s="18" t="inlineStr">
        <is>
          <t>▸ Охлаждение (ОАЭ-приоритет)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>
      <c r="A27" s="21" t="inlineStr">
        <is>
          <t>Охлаждающее полотенце</t>
        </is>
      </c>
      <c r="B27" s="22" t="n">
        <v>5000</v>
      </c>
      <c r="C27" s="7" t="n">
        <v>55.09</v>
      </c>
      <c r="D27" s="7" t="n">
        <v>16.53</v>
      </c>
      <c r="E27" s="8" t="n">
        <v>0.15</v>
      </c>
      <c r="F27" s="7" t="n">
        <v>12</v>
      </c>
      <c r="G27" s="7" t="n">
        <v>12</v>
      </c>
      <c r="H27" s="8" t="n">
        <v>0.03</v>
      </c>
      <c r="I27" s="9">
        <f>C27*E27</f>
        <v/>
      </c>
      <c r="J27" s="9">
        <f>D27+I27+F27+G27+C27*H27</f>
        <v/>
      </c>
      <c r="K27" s="9">
        <f>C27-J27</f>
        <v/>
      </c>
      <c r="L27" s="10">
        <f>K27/C27</f>
        <v/>
      </c>
      <c r="M27" s="12">
        <f>IF(K27&lt;=0,"—",ROUNDUP((Модель!$B$6+Модель!$B$24)/K27,0))</f>
        <v/>
      </c>
      <c r="N27" s="12">
        <f>ROUND(B27/Модель!$B$32,0)</f>
        <v/>
      </c>
      <c r="O27" s="10">
        <f>IF(OR(N27=0,K27&lt;=0),"—",M27/N27)</f>
        <v/>
      </c>
      <c r="P27" s="11">
        <f>IF(K27&lt;=0,"цена≤затрат",IF(M27&lt;=N27*0.3,"✅ реально",IF(M27&lt;=N27,"⚠️ напряжно","❌ стек SKU")))</f>
        <v/>
      </c>
    </row>
    <row r="28">
      <c r="A28" s="21" t="inlineStr">
        <is>
          <t>Гелевая охлажд. маска для глаз</t>
        </is>
      </c>
      <c r="B28" s="22" t="n">
        <v>5000</v>
      </c>
      <c r="C28" s="7" t="n">
        <v>55.09</v>
      </c>
      <c r="D28" s="7" t="n">
        <v>16.53</v>
      </c>
      <c r="E28" s="8" t="n">
        <v>0.15</v>
      </c>
      <c r="F28" s="7" t="n">
        <v>12</v>
      </c>
      <c r="G28" s="7" t="n">
        <v>12</v>
      </c>
      <c r="H28" s="8" t="n">
        <v>0.03</v>
      </c>
      <c r="I28" s="9">
        <f>C28*E28</f>
        <v/>
      </c>
      <c r="J28" s="9">
        <f>D28+I28+F28+G28+C28*H28</f>
        <v/>
      </c>
      <c r="K28" s="9">
        <f>C28-J28</f>
        <v/>
      </c>
      <c r="L28" s="10">
        <f>K28/C28</f>
        <v/>
      </c>
      <c r="M28" s="12">
        <f>IF(K28&lt;=0,"—",ROUNDUP((Модель!$B$6+Модель!$B$24)/K28,0))</f>
        <v/>
      </c>
      <c r="N28" s="12">
        <f>ROUND(B28/Модель!$B$32,0)</f>
        <v/>
      </c>
      <c r="O28" s="10">
        <f>IF(OR(N28=0,K28&lt;=0),"—",M28/N28)</f>
        <v/>
      </c>
      <c r="P28" s="11">
        <f>IF(K28&lt;=0,"цена≤затрат",IF(M28&lt;=N28*0.3,"✅ реально",IF(M28&lt;=N28,"⚠️ напряжно","❌ стек SKU")))</f>
        <v/>
      </c>
    </row>
    <row r="29">
      <c r="A29" s="21" t="inlineStr">
        <is>
          <t>Многоразовый холодный гелевый компресс</t>
        </is>
      </c>
      <c r="B29" s="22" t="n">
        <v>5000</v>
      </c>
      <c r="C29" s="7" t="n">
        <v>66.11</v>
      </c>
      <c r="D29" s="7" t="n">
        <v>19.83</v>
      </c>
      <c r="E29" s="8" t="n">
        <v>0.15</v>
      </c>
      <c r="F29" s="7" t="n">
        <v>12</v>
      </c>
      <c r="G29" s="7" t="n">
        <v>12</v>
      </c>
      <c r="H29" s="8" t="n">
        <v>0.03</v>
      </c>
      <c r="I29" s="9">
        <f>C29*E29</f>
        <v/>
      </c>
      <c r="J29" s="9">
        <f>D29+I29+F29+G29+C29*H29</f>
        <v/>
      </c>
      <c r="K29" s="9">
        <f>C29-J29</f>
        <v/>
      </c>
      <c r="L29" s="10">
        <f>K29/C29</f>
        <v/>
      </c>
      <c r="M29" s="12">
        <f>IF(K29&lt;=0,"—",ROUNDUP((Модель!$B$6+Модель!$B$24)/K29,0))</f>
        <v/>
      </c>
      <c r="N29" s="12">
        <f>ROUND(B29/Модель!$B$32,0)</f>
        <v/>
      </c>
      <c r="O29" s="10">
        <f>IF(OR(N29=0,K29&lt;=0),"—",M29/N29)</f>
        <v/>
      </c>
      <c r="P29" s="11">
        <f>IF(K29&lt;=0,"цена≤затрат",IF(M29&lt;=N29*0.3,"✅ реально",IF(M29&lt;=N29,"⚠️ напряжно","❌ стек SKU")))</f>
        <v/>
      </c>
    </row>
    <row r="30">
      <c r="A30" s="21" t="inlineStr">
        <is>
          <t>Охлаждающая подушка / наволочка</t>
        </is>
      </c>
      <c r="B30" s="22" t="n">
        <v>4000</v>
      </c>
      <c r="C30" s="7" t="n">
        <v>146.9</v>
      </c>
      <c r="D30" s="7" t="n">
        <v>44.07</v>
      </c>
      <c r="E30" s="8" t="n">
        <v>0.15</v>
      </c>
      <c r="F30" s="7" t="n">
        <v>12</v>
      </c>
      <c r="G30" s="7" t="n">
        <v>12</v>
      </c>
      <c r="H30" s="8" t="n">
        <v>0.03</v>
      </c>
      <c r="I30" s="9">
        <f>C30*E30</f>
        <v/>
      </c>
      <c r="J30" s="9">
        <f>D30+I30+F30+G30+C30*H30</f>
        <v/>
      </c>
      <c r="K30" s="9">
        <f>C30-J30</f>
        <v/>
      </c>
      <c r="L30" s="10">
        <f>K30/C30</f>
        <v/>
      </c>
      <c r="M30" s="12">
        <f>IF(K30&lt;=0,"—",ROUNDUP((Модель!$B$6+Модель!$B$24)/K30,0))</f>
        <v/>
      </c>
      <c r="N30" s="12">
        <f>ROUND(B30/Модель!$B$32,0)</f>
        <v/>
      </c>
      <c r="O30" s="10">
        <f>IF(OR(N30=0,K30&lt;=0),"—",M30/N30)</f>
        <v/>
      </c>
      <c r="P30" s="11">
        <f>IF(K30&lt;=0,"цена≤затрат",IF(M30&lt;=N30*0.3,"✅ реально",IF(M30&lt;=N30,"⚠️ напряжно","❌ стек SKU")))</f>
        <v/>
      </c>
    </row>
    <row r="31">
      <c r="A31" s="21" t="inlineStr">
        <is>
          <t>Ортоп. подушка с охлажд. чехлом</t>
        </is>
      </c>
      <c r="B31" s="22" t="n">
        <v>3000</v>
      </c>
      <c r="C31" s="7" t="n">
        <v>165.26</v>
      </c>
      <c r="D31" s="7" t="n">
        <v>49.58</v>
      </c>
      <c r="E31" s="8" t="n">
        <v>0.15</v>
      </c>
      <c r="F31" s="7" t="n">
        <v>12</v>
      </c>
      <c r="G31" s="7" t="n">
        <v>12</v>
      </c>
      <c r="H31" s="8" t="n">
        <v>0.03</v>
      </c>
      <c r="I31" s="9">
        <f>C31*E31</f>
        <v/>
      </c>
      <c r="J31" s="9">
        <f>D31+I31+F31+G31+C31*H31</f>
        <v/>
      </c>
      <c r="K31" s="9">
        <f>C31-J31</f>
        <v/>
      </c>
      <c r="L31" s="10">
        <f>K31/C31</f>
        <v/>
      </c>
      <c r="M31" s="12">
        <f>IF(K31&lt;=0,"—",ROUNDUP((Модель!$B$6+Модель!$B$24)/K31,0))</f>
        <v/>
      </c>
      <c r="N31" s="12">
        <f>ROUND(B31/Модель!$B$32,0)</f>
        <v/>
      </c>
      <c r="O31" s="10">
        <f>IF(OR(N31=0,K31&lt;=0),"—",M31/N31)</f>
        <v/>
      </c>
      <c r="P31" s="11">
        <f>IF(K31&lt;=0,"цена≤затрат",IF(M31&lt;=N31*0.3,"✅ реально",IF(M31&lt;=N31,"⚠️ напряжно","❌ стек SKU")))</f>
        <v/>
      </c>
    </row>
    <row r="32">
      <c r="A32" s="21" t="inlineStr">
        <is>
          <t>USB-вентилятор</t>
        </is>
      </c>
      <c r="B32" s="22" t="n">
        <v>8000</v>
      </c>
      <c r="C32" s="7" t="n">
        <v>73.45</v>
      </c>
      <c r="D32" s="7" t="n">
        <v>22.04</v>
      </c>
      <c r="E32" s="8" t="n">
        <v>0.15</v>
      </c>
      <c r="F32" s="7" t="n">
        <v>12</v>
      </c>
      <c r="G32" s="7" t="n">
        <v>12</v>
      </c>
      <c r="H32" s="8" t="n">
        <v>0.03</v>
      </c>
      <c r="I32" s="9">
        <f>C32*E32</f>
        <v/>
      </c>
      <c r="J32" s="9">
        <f>D32+I32+F32+G32+C32*H32</f>
        <v/>
      </c>
      <c r="K32" s="9">
        <f>C32-J32</f>
        <v/>
      </c>
      <c r="L32" s="10">
        <f>K32/C32</f>
        <v/>
      </c>
      <c r="M32" s="12">
        <f>IF(K32&lt;=0,"—",ROUNDUP((Модель!$B$6+Модель!$B$24)/K32,0))</f>
        <v/>
      </c>
      <c r="N32" s="12">
        <f>ROUND(B32/Модель!$B$32,0)</f>
        <v/>
      </c>
      <c r="O32" s="10">
        <f>IF(OR(N32=0,K32&lt;=0),"—",M32/N32)</f>
        <v/>
      </c>
      <c r="P32" s="11">
        <f>IF(K32&lt;=0,"цена≤затрат",IF(M32&lt;=N32*0.3,"✅ реально",IF(M32&lt;=N32,"⚠️ напряжно","❌ стек SKU")))</f>
        <v/>
      </c>
    </row>
    <row r="33">
      <c r="A33" s="21" t="inlineStr">
        <is>
          <t>Складной аккумуляторный вентилятор</t>
        </is>
      </c>
      <c r="B33" s="22" t="n">
        <v>5000</v>
      </c>
      <c r="C33" s="7" t="n">
        <v>110.17</v>
      </c>
      <c r="D33" s="7" t="n">
        <v>33.05</v>
      </c>
      <c r="E33" s="8" t="n">
        <v>0.15</v>
      </c>
      <c r="F33" s="7" t="n">
        <v>12</v>
      </c>
      <c r="G33" s="7" t="n">
        <v>12</v>
      </c>
      <c r="H33" s="8" t="n">
        <v>0.03</v>
      </c>
      <c r="I33" s="9">
        <f>C33*E33</f>
        <v/>
      </c>
      <c r="J33" s="9">
        <f>D33+I33+F33+G33+C33*H33</f>
        <v/>
      </c>
      <c r="K33" s="9">
        <f>C33-J33</f>
        <v/>
      </c>
      <c r="L33" s="10">
        <f>K33/C33</f>
        <v/>
      </c>
      <c r="M33" s="12">
        <f>IF(K33&lt;=0,"—",ROUNDUP((Модель!$B$6+Модель!$B$24)/K33,0))</f>
        <v/>
      </c>
      <c r="N33" s="12">
        <f>ROUND(B33/Модель!$B$32,0)</f>
        <v/>
      </c>
      <c r="O33" s="10">
        <f>IF(OR(N33=0,K33&lt;=0),"—",M33/N33)</f>
        <v/>
      </c>
      <c r="P33" s="11">
        <f>IF(K33&lt;=0,"цена≤затрат",IF(M33&lt;=N33*0.3,"✅ реально",IF(M33&lt;=N33,"⚠️ напряжно","❌ стек SKU")))</f>
        <v/>
      </c>
    </row>
    <row r="34">
      <c r="A34" s="21" t="inlineStr">
        <is>
          <t>Шейный вентилятор / neck cooler</t>
        </is>
      </c>
      <c r="B34" s="22" t="n">
        <v>4000</v>
      </c>
      <c r="C34" s="7" t="n">
        <v>128.54</v>
      </c>
      <c r="D34" s="7" t="n">
        <v>38.56</v>
      </c>
      <c r="E34" s="8" t="n">
        <v>0.15</v>
      </c>
      <c r="F34" s="7" t="n">
        <v>12</v>
      </c>
      <c r="G34" s="7" t="n">
        <v>12</v>
      </c>
      <c r="H34" s="8" t="n">
        <v>0.03</v>
      </c>
      <c r="I34" s="9">
        <f>C34*E34</f>
        <v/>
      </c>
      <c r="J34" s="9">
        <f>D34+I34+F34+G34+C34*H34</f>
        <v/>
      </c>
      <c r="K34" s="9">
        <f>C34-J34</f>
        <v/>
      </c>
      <c r="L34" s="10">
        <f>K34/C34</f>
        <v/>
      </c>
      <c r="M34" s="12">
        <f>IF(K34&lt;=0,"—",ROUNDUP((Модель!$B$6+Модель!$B$24)/K34,0))</f>
        <v/>
      </c>
      <c r="N34" s="12">
        <f>ROUND(B34/Модель!$B$32,0)</f>
        <v/>
      </c>
      <c r="O34" s="10">
        <f>IF(OR(N34=0,K34&lt;=0),"—",M34/N34)</f>
        <v/>
      </c>
      <c r="P34" s="11">
        <f>IF(K34&lt;=0,"цена≤затрат",IF(M34&lt;=N34*0.3,"✅ реально",IF(M34&lt;=N34,"⚠️ напряжно","❌ стек SKU")))</f>
        <v/>
      </c>
    </row>
    <row r="35">
      <c r="A35" s="21" t="inlineStr">
        <is>
          <t>Охлаждающий жилет (спорт/работа)</t>
        </is>
      </c>
      <c r="B35" s="22" t="n">
        <v>1500</v>
      </c>
      <c r="C35" s="7" t="n">
        <v>201.99</v>
      </c>
      <c r="D35" s="7" t="n">
        <v>60.6</v>
      </c>
      <c r="E35" s="8" t="n">
        <v>0.15</v>
      </c>
      <c r="F35" s="7" t="n">
        <v>12</v>
      </c>
      <c r="G35" s="7" t="n">
        <v>12</v>
      </c>
      <c r="H35" s="8" t="n">
        <v>0.03</v>
      </c>
      <c r="I35" s="9">
        <f>C35*E35</f>
        <v/>
      </c>
      <c r="J35" s="9">
        <f>D35+I35+F35+G35+C35*H35</f>
        <v/>
      </c>
      <c r="K35" s="9">
        <f>C35-J35</f>
        <v/>
      </c>
      <c r="L35" s="10">
        <f>K35/C35</f>
        <v/>
      </c>
      <c r="M35" s="12">
        <f>IF(K35&lt;=0,"—",ROUNDUP((Модель!$B$6+Модель!$B$24)/K35,0))</f>
        <v/>
      </c>
      <c r="N35" s="12">
        <f>ROUND(B35/Модель!$B$32,0)</f>
        <v/>
      </c>
      <c r="O35" s="10">
        <f>IF(OR(N35=0,K35&lt;=0),"—",M35/N35)</f>
        <v/>
      </c>
      <c r="P35" s="11">
        <f>IF(K35&lt;=0,"цена≤затрат",IF(M35&lt;=N35*0.3,"✅ реально",IF(M35&lt;=N35,"⚠️ напряжно","❌ стек SKU")))</f>
        <v/>
      </c>
    </row>
    <row r="36">
      <c r="A36" s="21" t="inlineStr">
        <is>
          <t>Термосумка для холодных компрессов</t>
        </is>
      </c>
      <c r="B36" s="22" t="n">
        <v>2000</v>
      </c>
      <c r="C36" s="7" t="n">
        <v>91.81</v>
      </c>
      <c r="D36" s="7" t="n">
        <v>27.54</v>
      </c>
      <c r="E36" s="8" t="n">
        <v>0.15</v>
      </c>
      <c r="F36" s="7" t="n">
        <v>12</v>
      </c>
      <c r="G36" s="7" t="n">
        <v>12</v>
      </c>
      <c r="H36" s="8" t="n">
        <v>0.03</v>
      </c>
      <c r="I36" s="9">
        <f>C36*E36</f>
        <v/>
      </c>
      <c r="J36" s="9">
        <f>D36+I36+F36+G36+C36*H36</f>
        <v/>
      </c>
      <c r="K36" s="9">
        <f>C36-J36</f>
        <v/>
      </c>
      <c r="L36" s="10">
        <f>K36/C36</f>
        <v/>
      </c>
      <c r="M36" s="12">
        <f>IF(K36&lt;=0,"—",ROUNDUP((Модель!$B$6+Модель!$B$24)/K36,0))</f>
        <v/>
      </c>
      <c r="N36" s="12">
        <f>ROUND(B36/Модель!$B$32,0)</f>
        <v/>
      </c>
      <c r="O36" s="10">
        <f>IF(OR(N36=0,K36&lt;=0),"—",M36/N36)</f>
        <v/>
      </c>
      <c r="P36" s="11">
        <f>IF(K36&lt;=0,"цена≤затрат",IF(M36&lt;=N36*0.3,"✅ реально",IF(M36&lt;=N36,"⚠️ напряжно","❌ стек SKU")))</f>
        <v/>
      </c>
    </row>
    <row r="37">
      <c r="A37" s="18" t="inlineStr">
        <is>
          <t>▸ Качество воздуха / увлажнение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</row>
    <row r="38">
      <c r="A38" s="21" t="inlineStr">
        <is>
          <t>Увлажнитель воздуха</t>
        </is>
      </c>
      <c r="B38" s="22" t="n">
        <v>8000</v>
      </c>
      <c r="C38" s="7" t="n">
        <v>146.9</v>
      </c>
      <c r="D38" s="7" t="n">
        <v>44.07</v>
      </c>
      <c r="E38" s="8" t="n">
        <v>0.15</v>
      </c>
      <c r="F38" s="7" t="n">
        <v>12</v>
      </c>
      <c r="G38" s="7" t="n">
        <v>12</v>
      </c>
      <c r="H38" s="8" t="n">
        <v>0.03</v>
      </c>
      <c r="I38" s="9">
        <f>C38*E38</f>
        <v/>
      </c>
      <c r="J38" s="9">
        <f>D38+I38+F38+G38+C38*H38</f>
        <v/>
      </c>
      <c r="K38" s="9">
        <f>C38-J38</f>
        <v/>
      </c>
      <c r="L38" s="10">
        <f>K38/C38</f>
        <v/>
      </c>
      <c r="M38" s="12">
        <f>IF(K38&lt;=0,"—",ROUNDUP((Модель!$B$6+Модель!$B$24)/K38,0))</f>
        <v/>
      </c>
      <c r="N38" s="12">
        <f>ROUND(B38/Модель!$B$32,0)</f>
        <v/>
      </c>
      <c r="O38" s="10">
        <f>IF(OR(N38=0,K38&lt;=0),"—",M38/N38)</f>
        <v/>
      </c>
      <c r="P38" s="11">
        <f>IF(K38&lt;=0,"цена≤затрат",IF(M38&lt;=N38*0.3,"✅ реально",IF(M38&lt;=N38,"⚠️ напряжно","❌ стек SKU")))</f>
        <v/>
      </c>
    </row>
    <row r="39">
      <c r="A39" s="21" t="inlineStr">
        <is>
          <t>Увлажнитель с гигрометром</t>
        </is>
      </c>
      <c r="B39" s="22" t="n">
        <v>3000</v>
      </c>
      <c r="C39" s="7" t="n">
        <v>183.62</v>
      </c>
      <c r="D39" s="7" t="n">
        <v>55.09</v>
      </c>
      <c r="E39" s="8" t="n">
        <v>0.15</v>
      </c>
      <c r="F39" s="7" t="n">
        <v>12</v>
      </c>
      <c r="G39" s="7" t="n">
        <v>12</v>
      </c>
      <c r="H39" s="8" t="n">
        <v>0.03</v>
      </c>
      <c r="I39" s="9">
        <f>C39*E39</f>
        <v/>
      </c>
      <c r="J39" s="9">
        <f>D39+I39+F39+G39+C39*H39</f>
        <v/>
      </c>
      <c r="K39" s="9">
        <f>C39-J39</f>
        <v/>
      </c>
      <c r="L39" s="10">
        <f>K39/C39</f>
        <v/>
      </c>
      <c r="M39" s="12">
        <f>IF(K39&lt;=0,"—",ROUNDUP((Модель!$B$6+Модель!$B$24)/K39,0))</f>
        <v/>
      </c>
      <c r="N39" s="12">
        <f>ROUND(B39/Модель!$B$32,0)</f>
        <v/>
      </c>
      <c r="O39" s="10">
        <f>IF(OR(N39=0,K39&lt;=0),"—",M39/N39)</f>
        <v/>
      </c>
      <c r="P39" s="11">
        <f>IF(K39&lt;=0,"цена≤затрат",IF(M39&lt;=N39*0.3,"✅ реально",IF(M39&lt;=N39,"⚠️ напряжно","❌ стек SKU")))</f>
        <v/>
      </c>
    </row>
    <row r="40">
      <c r="A40" s="21" t="inlineStr">
        <is>
          <t>Датчик CO₂ / PM2.5 / темп. / влажности</t>
        </is>
      </c>
      <c r="B40" s="22" t="n">
        <v>2000</v>
      </c>
      <c r="C40" s="7" t="n">
        <v>293.8</v>
      </c>
      <c r="D40" s="7" t="n">
        <v>88.14</v>
      </c>
      <c r="E40" s="8" t="n">
        <v>0.15</v>
      </c>
      <c r="F40" s="7" t="n">
        <v>12</v>
      </c>
      <c r="G40" s="7" t="n">
        <v>12</v>
      </c>
      <c r="H40" s="8" t="n">
        <v>0.03</v>
      </c>
      <c r="I40" s="9">
        <f>C40*E40</f>
        <v/>
      </c>
      <c r="J40" s="9">
        <f>D40+I40+F40+G40+C40*H40</f>
        <v/>
      </c>
      <c r="K40" s="9">
        <f>C40-J40</f>
        <v/>
      </c>
      <c r="L40" s="10">
        <f>K40/C40</f>
        <v/>
      </c>
      <c r="M40" s="12">
        <f>IF(K40&lt;=0,"—",ROUNDUP((Модель!$B$6+Модель!$B$24)/K40,0))</f>
        <v/>
      </c>
      <c r="N40" s="12">
        <f>ROUND(B40/Модель!$B$32,0)</f>
        <v/>
      </c>
      <c r="O40" s="10">
        <f>IF(OR(N40=0,K40&lt;=0),"—",M40/N40)</f>
        <v/>
      </c>
      <c r="P40" s="11">
        <f>IF(K40&lt;=0,"цена≤затрат",IF(M40&lt;=N40*0.3,"✅ реально",IF(M40&lt;=N40,"⚠️ напряжно","❌ стек SKU")))</f>
        <v/>
      </c>
    </row>
    <row r="41">
      <c r="A41" s="18" t="inlineStr">
        <is>
          <t>▸ Йога / фитнес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</row>
    <row r="42">
      <c r="A42" s="21" t="inlineStr">
        <is>
          <t>Коврик для йоги / гимнастики</t>
        </is>
      </c>
      <c r="B42" s="22" t="n">
        <v>6000</v>
      </c>
      <c r="C42" s="7" t="n">
        <v>110.17</v>
      </c>
      <c r="D42" s="7" t="n">
        <v>33.05</v>
      </c>
      <c r="E42" s="8" t="n">
        <v>0.15</v>
      </c>
      <c r="F42" s="7" t="n">
        <v>12</v>
      </c>
      <c r="G42" s="7" t="n">
        <v>12</v>
      </c>
      <c r="H42" s="8" t="n">
        <v>0.03</v>
      </c>
      <c r="I42" s="9">
        <f>C42*E42</f>
        <v/>
      </c>
      <c r="J42" s="9">
        <f>D42+I42+F42+G42+C42*H42</f>
        <v/>
      </c>
      <c r="K42" s="9">
        <f>C42-J42</f>
        <v/>
      </c>
      <c r="L42" s="10">
        <f>K42/C42</f>
        <v/>
      </c>
      <c r="M42" s="12">
        <f>IF(K42&lt;=0,"—",ROUNDUP((Модель!$B$6+Модель!$B$24)/K42,0))</f>
        <v/>
      </c>
      <c r="N42" s="12">
        <f>ROUND(B42/Модель!$B$32,0)</f>
        <v/>
      </c>
      <c r="O42" s="10">
        <f>IF(OR(N42=0,K42&lt;=0),"—",M42/N42)</f>
        <v/>
      </c>
      <c r="P42" s="11">
        <f>IF(K42&lt;=0,"цена≤затрат",IF(M42&lt;=N42*0.3,"✅ реально",IF(M42&lt;=N42,"⚠️ напряжно","❌ стек SKU")))</f>
        <v/>
      </c>
    </row>
    <row r="44">
      <c r="A44" s="2" t="inlineStr">
        <is>
          <t>Столбцы: Комиссия = Цена×Комиссия%. Перем.затраты = COGS+Комиссия+FBA+PPC+Цена×Возвраты%. Валовая приб./шт = Цена − Перем.затраты. Юнитов/мес для цели = (Цель прибыли[Модель]+Фикс[Модель]) / Валовая приб/шт. Спрос ОАЭ = Продажи US / Коэффициент[Модель]. Вердикт: ✅ ≤30% ниши / ⚠️ до 100% / ❌ больше ниши (нужен стек из нескольких SKU).</t>
        </is>
      </c>
    </row>
    <row r="46">
      <c r="A46" s="23" t="inlineStr">
        <is>
          <t>Цена ОАЭ предзаполнена как прямой пересчёт US-цены ×3.6725 — это НЕЙТРАЛЬНЫЙ старт. Импортные health-товары в ОАЭ часто стоят дороже US: подними цену под реальный листинг amazon.ae/noon и увидишь, как маржа и вердикт улучшаются.</t>
        </is>
      </c>
    </row>
    <row r="47">
      <c r="A47" s="2" t="inlineStr">
        <is>
          <t>Оранжевые строки — ниши, подтверждённые рыночными данными (веб), но US-объём в них ОЦЕНОЧНЫЙ. Прогони title-поиск в Keepa (напр. «posture corrector») и впиши реальные продажи/цену поставщика.</t>
        </is>
      </c>
    </row>
  </sheetData>
  <hyperlinks>
    <hyperlink xmlns:r="http://schemas.openxmlformats.org/officeDocument/2006/relationships" ref="Q6" r:id="rId1"/>
    <hyperlink xmlns:r="http://schemas.openxmlformats.org/officeDocument/2006/relationships" ref="Q13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24" t="n">
        <v>0.2</v>
      </c>
      <c r="C5" s="24" t="n">
        <v>0.25</v>
      </c>
      <c r="D5" s="24" t="n">
        <v>0.3</v>
      </c>
      <c r="E5" s="24" t="n">
        <v>0.35</v>
      </c>
      <c r="F5" s="24" t="n">
        <v>0.4</v>
      </c>
      <c r="G5" s="24" t="n">
        <v>0.5</v>
      </c>
    </row>
    <row r="6">
      <c r="A6" s="25" t="n">
        <v>50</v>
      </c>
      <c r="B6" s="26">
        <f>ROUNDUP((Модель!B6+Модель!B24)/(A6*B5),0)</f>
        <v/>
      </c>
      <c r="C6" s="26">
        <f>ROUNDUP((Модель!B6+Модель!B24)/(A6*C5),0)</f>
        <v/>
      </c>
      <c r="D6" s="26">
        <f>ROUNDUP((Модель!B6+Модель!B24)/(A6*D5),0)</f>
        <v/>
      </c>
      <c r="E6" s="26">
        <f>ROUNDUP((Модель!B6+Модель!B24)/(A6*E5),0)</f>
        <v/>
      </c>
      <c r="F6" s="26">
        <f>ROUNDUP((Модель!B6+Модель!B24)/(A6*F5),0)</f>
        <v/>
      </c>
      <c r="G6" s="26">
        <f>ROUNDUP((Модель!B6+Модель!B24)/(A6*G5),0)</f>
        <v/>
      </c>
    </row>
    <row r="7">
      <c r="A7" s="25" t="n">
        <v>70</v>
      </c>
      <c r="B7" s="26">
        <f>ROUNDUP((Модель!B6+Модель!B24)/(A7*B5),0)</f>
        <v/>
      </c>
      <c r="C7" s="26">
        <f>ROUNDUP((Модель!B6+Модель!B24)/(A7*C5),0)</f>
        <v/>
      </c>
      <c r="D7" s="26">
        <f>ROUNDUP((Модель!B6+Модель!B24)/(A7*D5),0)</f>
        <v/>
      </c>
      <c r="E7" s="26">
        <f>ROUNDUP((Модель!B6+Модель!B24)/(A7*E5),0)</f>
        <v/>
      </c>
      <c r="F7" s="26">
        <f>ROUNDUP((Модель!B6+Модель!B24)/(A7*F5),0)</f>
        <v/>
      </c>
      <c r="G7" s="26">
        <f>ROUNDUP((Модель!B6+Модель!B24)/(A7*G5),0)</f>
        <v/>
      </c>
    </row>
    <row r="8">
      <c r="A8" s="25" t="n">
        <v>90</v>
      </c>
      <c r="B8" s="26">
        <f>ROUNDUP((Модель!B6+Модель!B24)/(A8*B5),0)</f>
        <v/>
      </c>
      <c r="C8" s="26">
        <f>ROUNDUP((Модель!B6+Модель!B24)/(A8*C5),0)</f>
        <v/>
      </c>
      <c r="D8" s="26">
        <f>ROUNDUP((Модель!B6+Модель!B24)/(A8*D5),0)</f>
        <v/>
      </c>
      <c r="E8" s="26">
        <f>ROUNDUP((Модель!B6+Модель!B24)/(A8*E5),0)</f>
        <v/>
      </c>
      <c r="F8" s="26">
        <f>ROUNDUP((Модель!B6+Модель!B24)/(A8*F5),0)</f>
        <v/>
      </c>
      <c r="G8" s="26">
        <f>ROUNDUP((Модель!B6+Модель!B24)/(A8*G5),0)</f>
        <v/>
      </c>
    </row>
    <row r="9">
      <c r="A9" s="25" t="n">
        <v>120</v>
      </c>
      <c r="B9" s="26">
        <f>ROUNDUP((Модель!B6+Модель!B24)/(A9*B5),0)</f>
        <v/>
      </c>
      <c r="C9" s="26">
        <f>ROUNDUP((Модель!B6+Модель!B24)/(A9*C5),0)</f>
        <v/>
      </c>
      <c r="D9" s="26">
        <f>ROUNDUP((Модель!B6+Модель!B24)/(A9*D5),0)</f>
        <v/>
      </c>
      <c r="E9" s="26">
        <f>ROUNDUP((Модель!B6+Модель!B24)/(A9*E5),0)</f>
        <v/>
      </c>
      <c r="F9" s="26">
        <f>ROUNDUP((Модель!B6+Модель!B24)/(A9*F5),0)</f>
        <v/>
      </c>
      <c r="G9" s="26">
        <f>ROUNDUP((Модель!B6+Модель!B24)/(A9*G5),0)</f>
        <v/>
      </c>
    </row>
    <row r="10">
      <c r="A10" s="25" t="n">
        <v>150</v>
      </c>
      <c r="B10" s="26">
        <f>ROUNDUP((Модель!B6+Модель!B24)/(A10*B5),0)</f>
        <v/>
      </c>
      <c r="C10" s="26">
        <f>ROUNDUP((Модель!B6+Модель!B24)/(A10*C5),0)</f>
        <v/>
      </c>
      <c r="D10" s="26">
        <f>ROUNDUP((Модель!B6+Модель!B24)/(A10*D5),0)</f>
        <v/>
      </c>
      <c r="E10" s="26">
        <f>ROUNDUP((Модель!B6+Модель!B24)/(A10*E5),0)</f>
        <v/>
      </c>
      <c r="F10" s="26">
        <f>ROUNDUP((Модель!B6+Модель!B24)/(A10*F5),0)</f>
        <v/>
      </c>
      <c r="G10" s="26">
        <f>ROUNDUP((Модель!B6+Модель!B24)/(A10*G5),0)</f>
        <v/>
      </c>
    </row>
    <row r="11">
      <c r="A11" s="25" t="n">
        <v>200</v>
      </c>
      <c r="B11" s="26">
        <f>ROUNDUP((Модель!B6+Модель!B24)/(A11*B5),0)</f>
        <v/>
      </c>
      <c r="C11" s="26">
        <f>ROUNDUP((Модель!B6+Модель!B24)/(A11*C5),0)</f>
        <v/>
      </c>
      <c r="D11" s="26">
        <f>ROUNDUP((Модель!B6+Модель!B24)/(A11*D5),0)</f>
        <v/>
      </c>
      <c r="E11" s="26">
        <f>ROUNDUP((Модель!B6+Модель!B24)/(A11*E5),0)</f>
        <v/>
      </c>
      <c r="F11" s="26">
        <f>ROUNDUP((Модель!B6+Модель!B24)/(A11*F5),0)</f>
        <v/>
      </c>
      <c r="G11" s="26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7" t="n">
        <v>20</v>
      </c>
      <c r="C15" s="27" t="n">
        <v>30</v>
      </c>
      <c r="D15" s="27" t="n">
        <v>40</v>
      </c>
      <c r="E15" s="27" t="n">
        <v>60</v>
      </c>
      <c r="F15" s="27" t="n">
        <v>80</v>
      </c>
      <c r="G15" s="27" t="n">
        <v>100</v>
      </c>
    </row>
    <row r="16">
      <c r="A16" s="28" t="n">
        <v>1000</v>
      </c>
      <c r="B16" s="26">
        <f>ROUND(A16/B15,0)</f>
        <v/>
      </c>
      <c r="C16" s="26">
        <f>ROUND(A16/C15,0)</f>
        <v/>
      </c>
      <c r="D16" s="26">
        <f>ROUND(A16/D15,0)</f>
        <v/>
      </c>
      <c r="E16" s="26">
        <f>ROUND(A16/E15,0)</f>
        <v/>
      </c>
      <c r="F16" s="26">
        <f>ROUND(A16/F15,0)</f>
        <v/>
      </c>
      <c r="G16" s="26">
        <f>ROUND(A16/G15,0)</f>
        <v/>
      </c>
    </row>
    <row r="17">
      <c r="A17" s="28" t="n">
        <v>2000</v>
      </c>
      <c r="B17" s="26">
        <f>ROUND(A17/B15,0)</f>
        <v/>
      </c>
      <c r="C17" s="26">
        <f>ROUND(A17/C15,0)</f>
        <v/>
      </c>
      <c r="D17" s="26">
        <f>ROUND(A17/D15,0)</f>
        <v/>
      </c>
      <c r="E17" s="26">
        <f>ROUND(A17/E15,0)</f>
        <v/>
      </c>
      <c r="F17" s="26">
        <f>ROUND(A17/F15,0)</f>
        <v/>
      </c>
      <c r="G17" s="26">
        <f>ROUND(A17/G15,0)</f>
        <v/>
      </c>
    </row>
    <row r="18">
      <c r="A18" s="28" t="n">
        <v>3000</v>
      </c>
      <c r="B18" s="26">
        <f>ROUND(A18/B15,0)</f>
        <v/>
      </c>
      <c r="C18" s="26">
        <f>ROUND(A18/C15,0)</f>
        <v/>
      </c>
      <c r="D18" s="26">
        <f>ROUND(A18/D15,0)</f>
        <v/>
      </c>
      <c r="E18" s="26">
        <f>ROUND(A18/E15,0)</f>
        <v/>
      </c>
      <c r="F18" s="26">
        <f>ROUND(A18/F15,0)</f>
        <v/>
      </c>
      <c r="G18" s="26">
        <f>ROUND(A18/G15,0)</f>
        <v/>
      </c>
    </row>
    <row r="19">
      <c r="A19" s="28" t="n">
        <v>5000</v>
      </c>
      <c r="B19" s="26">
        <f>ROUND(A19/B15,0)</f>
        <v/>
      </c>
      <c r="C19" s="26">
        <f>ROUND(A19/C15,0)</f>
        <v/>
      </c>
      <c r="D19" s="26">
        <f>ROUND(A19/D15,0)</f>
        <v/>
      </c>
      <c r="E19" s="26">
        <f>ROUND(A19/E15,0)</f>
        <v/>
      </c>
      <c r="F19" s="26">
        <f>ROUND(A19/F15,0)</f>
        <v/>
      </c>
      <c r="G19" s="26">
        <f>ROUND(A19/G15,0)</f>
        <v/>
      </c>
    </row>
    <row r="20">
      <c r="A20" s="28" t="n">
        <v>8000</v>
      </c>
      <c r="B20" s="26">
        <f>ROUND(A20/B15,0)</f>
        <v/>
      </c>
      <c r="C20" s="26">
        <f>ROUND(A20/C15,0)</f>
        <v/>
      </c>
      <c r="D20" s="26">
        <f>ROUND(A20/D15,0)</f>
        <v/>
      </c>
      <c r="E20" s="26">
        <f>ROUND(A20/E15,0)</f>
        <v/>
      </c>
      <c r="F20" s="26">
        <f>ROUND(A20/F15,0)</f>
        <v/>
      </c>
      <c r="G20" s="26">
        <f>ROUND(A20/G15,0)</f>
        <v/>
      </c>
    </row>
    <row r="21">
      <c r="A21" s="28" t="n">
        <v>10000</v>
      </c>
      <c r="B21" s="26">
        <f>ROUND(A21/B15,0)</f>
        <v/>
      </c>
      <c r="C21" s="26">
        <f>ROUND(A21/C15,0)</f>
        <v/>
      </c>
      <c r="D21" s="26">
        <f>ROUND(A21/D15,0)</f>
        <v/>
      </c>
      <c r="E21" s="26">
        <f>ROUND(A21/E15,0)</f>
        <v/>
      </c>
      <c r="F21" s="26">
        <f>ROUND(A21/F15,0)</f>
        <v/>
      </c>
      <c r="G21" s="26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5" customWidth="1" min="2" max="2"/>
    <col width="13" customWidth="1" min="3" max="3"/>
    <col width="11" customWidth="1" min="4" max="4"/>
    <col width="12" customWidth="1" min="5" max="5"/>
    <col width="15" customWidth="1" min="6" max="6"/>
    <col width="14" customWidth="1" min="7" max="7"/>
    <col width="22" customWidth="1" min="8" max="8"/>
    <col width="10" customWidth="1" min="9" max="9"/>
    <col width="10" customWidth="1" min="10" max="10"/>
    <col width="48" customWidth="1" min="11" max="11"/>
    <col width="9" customWidth="1" min="12" max="12"/>
  </cols>
  <sheetData>
    <row r="1" ht="44" customHeight="1">
      <c r="A1" s="17" t="inlineStr">
        <is>
          <t>Ниша</t>
        </is>
      </c>
      <c r="B1" s="17" t="inlineStr">
        <is>
          <t>Пример/бренд</t>
        </is>
      </c>
      <c r="C1" s="17" t="inlineStr">
        <is>
          <t>ASIN</t>
        </is>
      </c>
      <c r="D1" s="17" t="inlineStr">
        <is>
          <t>Цена US $</t>
        </is>
      </c>
      <c r="E1" s="17" t="inlineStr">
        <is>
          <t>Цена US AED</t>
        </is>
      </c>
      <c r="F1" s="17" t="inlineStr">
        <is>
          <t>Продажи US шт/мес</t>
        </is>
      </c>
      <c r="G1" s="17" t="inlineStr">
        <is>
          <t>Оценка ОАЭ ÷40</t>
        </is>
      </c>
      <c r="H1" s="17" t="inlineStr">
        <is>
          <t>Регистрация ОАЭ</t>
        </is>
      </c>
      <c r="I1" s="17" t="inlineStr">
        <is>
          <t>Барьер</t>
        </is>
      </c>
      <c r="J1" s="17" t="inlineStr">
        <is>
          <t>Данные</t>
        </is>
      </c>
      <c r="K1" s="17" t="inlineStr">
        <is>
          <t>Комментарий</t>
        </is>
      </c>
      <c r="L1" s="17" t="inlineStr">
        <is>
          <t>Keepa</t>
        </is>
      </c>
    </row>
    <row r="2">
      <c r="A2" s="18" t="inlineStr">
        <is>
          <t>▸ Массаж и восстановление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19" t="inlineStr">
        <is>
          <t>Массажный пистолет (percussion)</t>
        </is>
      </c>
      <c r="B3" s="19" t="inlineStr">
        <is>
          <t>TOLOCO/RENPHO</t>
        </is>
      </c>
      <c r="C3" s="20" t="inlineStr">
        <is>
          <t>B089KJTW4V</t>
        </is>
      </c>
      <c r="D3" s="29" t="n">
        <v>59.99</v>
      </c>
      <c r="E3" s="30">
        <f>D3*3.6725</f>
        <v/>
      </c>
      <c r="F3" s="26" t="n">
        <v>4000</v>
      </c>
      <c r="G3" s="26">
        <f>ROUND(F3/40,0)</f>
        <v/>
      </c>
      <c r="H3" s="19" t="inlineStr">
        <is>
          <t>🟡 электроника (G-mark)</t>
        </is>
      </c>
      <c r="I3" s="31" t="inlineStr">
        <is>
          <t>Средний</t>
        </is>
      </c>
      <c r="J3" s="32" t="inlineStr">
        <is>
          <t>Keepa</t>
        </is>
      </c>
      <c r="K3" s="33" t="inlineStr">
        <is>
          <t>РЕАЛЬНО (Keepa): TOLOCO $60/6k мес, OLsky/RENPHO $25-50/3k, TheraGun премиум. Конкурентно, но полно мелких брендов.</t>
        </is>
      </c>
      <c r="L3" s="20" t="inlineStr">
        <is>
          <t>открыть</t>
        </is>
      </c>
    </row>
    <row r="4">
      <c r="A4" s="19" t="inlineStr">
        <is>
          <t>Массажёр для шеи (шиацу)</t>
        </is>
      </c>
      <c r="B4" s="19" t="inlineStr"/>
      <c r="C4" s="19" t="n"/>
      <c r="D4" s="29" t="n">
        <v>40</v>
      </c>
      <c r="E4" s="30">
        <f>D4*3.6725</f>
        <v/>
      </c>
      <c r="F4" s="22" t="n">
        <v>2500</v>
      </c>
      <c r="G4" s="26">
        <f>ROUND(F4/40,0)</f>
        <v/>
      </c>
      <c r="H4" s="19" t="inlineStr">
        <is>
          <t>🟡 электроника (G-mark)</t>
        </is>
      </c>
      <c r="I4" s="31" t="inlineStr">
        <is>
          <t>Средний</t>
        </is>
      </c>
      <c r="J4" s="21" t="inlineStr">
        <is>
          <t>оценка</t>
        </is>
      </c>
      <c r="K4" s="33" t="inlineStr">
        <is>
          <t>Электроника с подогревом. Офисная/сидячая аудитория ОАЭ.</t>
        </is>
      </c>
      <c r="L4" s="19" t="n"/>
    </row>
    <row r="5">
      <c r="A5" s="19" t="inlineStr">
        <is>
          <t>Массажёр для ног</t>
        </is>
      </c>
      <c r="B5" s="19" t="inlineStr"/>
      <c r="C5" s="19" t="n"/>
      <c r="D5" s="29" t="n">
        <v>70</v>
      </c>
      <c r="E5" s="30">
        <f>D5*3.6725</f>
        <v/>
      </c>
      <c r="F5" s="22" t="n">
        <v>1500</v>
      </c>
      <c r="G5" s="26">
        <f>ROUND(F5/40,0)</f>
        <v/>
      </c>
      <c r="H5" s="19" t="inlineStr">
        <is>
          <t>🟡 электроника (G-mark)</t>
        </is>
      </c>
      <c r="I5" s="31" t="inlineStr">
        <is>
          <t>Средний</t>
        </is>
      </c>
      <c r="J5" s="21" t="inlineStr">
        <is>
          <t>оценка</t>
        </is>
      </c>
      <c r="K5" s="33" t="inlineStr">
        <is>
          <t>Высокий чек, габарит → дороже FBA/логистика.</t>
        </is>
      </c>
      <c r="L5" s="19" t="n"/>
    </row>
    <row r="6">
      <c r="A6" s="19" t="inlineStr">
        <is>
          <t>Массажная подушка (шиацу)</t>
        </is>
      </c>
      <c r="B6" s="19" t="inlineStr"/>
      <c r="C6" s="19" t="n"/>
      <c r="D6" s="29" t="n">
        <v>45</v>
      </c>
      <c r="E6" s="30">
        <f>D6*3.6725</f>
        <v/>
      </c>
      <c r="F6" s="22" t="n">
        <v>2000</v>
      </c>
      <c r="G6" s="26">
        <f>ROUND(F6/40,0)</f>
        <v/>
      </c>
      <c r="H6" s="19" t="inlineStr">
        <is>
          <t>🟡 электроника (G-mark)</t>
        </is>
      </c>
      <c r="I6" s="31" t="inlineStr">
        <is>
          <t>Средний</t>
        </is>
      </c>
      <c r="J6" s="21" t="inlineStr">
        <is>
          <t>оценка</t>
        </is>
      </c>
      <c r="K6" s="33" t="inlineStr">
        <is>
          <t>Электроника с прогревом; дом/офис/авто.</t>
        </is>
      </c>
      <c r="L6" s="19" t="n"/>
    </row>
    <row r="7">
      <c r="A7" s="19" t="inlineStr">
        <is>
          <t>Массажный ролик (foam roller) / ролик для йоги</t>
        </is>
      </c>
      <c r="B7" s="19" t="inlineStr"/>
      <c r="C7" s="19" t="n"/>
      <c r="D7" s="29" t="n">
        <v>25</v>
      </c>
      <c r="E7" s="30">
        <f>D7*3.6725</f>
        <v/>
      </c>
      <c r="F7" s="22" t="n">
        <v>5000</v>
      </c>
      <c r="G7" s="26">
        <f>ROUND(F7/40,0)</f>
        <v/>
      </c>
      <c r="H7" s="19" t="inlineStr">
        <is>
          <t>🟢 обычный товар</t>
        </is>
      </c>
      <c r="I7" s="32" t="inlineStr">
        <is>
          <t>Низкий</t>
        </is>
      </c>
      <c r="J7" s="21" t="inlineStr">
        <is>
          <t>оценка</t>
        </is>
      </c>
      <c r="K7" s="33" t="inlineStr">
        <is>
          <t>Не электро, лёгкий. Йога/восстановление/пляж/дом.</t>
        </is>
      </c>
      <c r="L7" s="19" t="n"/>
    </row>
    <row r="8">
      <c r="A8" s="19" t="inlineStr">
        <is>
          <t>Массажный мяч</t>
        </is>
      </c>
      <c r="B8" s="19" t="inlineStr"/>
      <c r="C8" s="19" t="n"/>
      <c r="D8" s="29" t="n">
        <v>13</v>
      </c>
      <c r="E8" s="30">
        <f>D8*3.6725</f>
        <v/>
      </c>
      <c r="F8" s="22" t="n">
        <v>3000</v>
      </c>
      <c r="G8" s="26">
        <f>ROUND(F8/40,0)</f>
        <v/>
      </c>
      <c r="H8" s="19" t="inlineStr">
        <is>
          <t>🟢 обычный товар</t>
        </is>
      </c>
      <c r="I8" s="32" t="inlineStr">
        <is>
          <t>Низкий</t>
        </is>
      </c>
      <c r="J8" s="21" t="inlineStr">
        <is>
          <t>оценка</t>
        </is>
      </c>
      <c r="K8" s="33" t="inlineStr">
        <is>
          <t>Дёшево, расходка, низкий чек — бери в стек к ролику.</t>
        </is>
      </c>
      <c r="L8" s="19" t="n"/>
    </row>
    <row r="9">
      <c r="A9" s="18" t="inlineStr">
        <is>
          <t>▸ Ортопедия и поддержка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19" t="inlineStr">
        <is>
          <t>Фиксатор запястья / карпал-туннель</t>
        </is>
      </c>
      <c r="B10" s="19" t="inlineStr">
        <is>
          <t>FREETOO</t>
        </is>
      </c>
      <c r="C10" s="20" t="inlineStr">
        <is>
          <t>B0DNFTL63F</t>
        </is>
      </c>
      <c r="D10" s="29" t="n">
        <v>19.95</v>
      </c>
      <c r="E10" s="30">
        <f>D10*3.6725</f>
        <v/>
      </c>
      <c r="F10" s="26" t="n">
        <v>3000</v>
      </c>
      <c r="G10" s="26">
        <f>ROUND(F10/40,0)</f>
        <v/>
      </c>
      <c r="H10" s="19" t="inlineStr">
        <is>
          <t>🟢 обычный товар</t>
        </is>
      </c>
      <c r="I10" s="32" t="inlineStr">
        <is>
          <t>Низкий</t>
        </is>
      </c>
      <c r="J10" s="32" t="inlineStr">
        <is>
          <t>Keepa</t>
        </is>
      </c>
      <c r="K10" s="33" t="inlineStr">
        <is>
          <t>РЕАЛЬНО (Keepa): FREETOO 3000/мес, 5704 отзыва, 1 оффер. Лёгкий, private-label легко.</t>
        </is>
      </c>
      <c r="L10" s="20" t="inlineStr">
        <is>
          <t>открыть</t>
        </is>
      </c>
    </row>
    <row r="11">
      <c r="A11" s="19" t="inlineStr">
        <is>
          <t>Наколенник</t>
        </is>
      </c>
      <c r="B11" s="19" t="inlineStr"/>
      <c r="C11" s="19" t="n"/>
      <c r="D11" s="29" t="n">
        <v>20</v>
      </c>
      <c r="E11" s="30">
        <f>D11*3.6725</f>
        <v/>
      </c>
      <c r="F11" s="22" t="n">
        <v>5000</v>
      </c>
      <c r="G11" s="26">
        <f>ROUND(F11/40,0)</f>
        <v/>
      </c>
      <c r="H11" s="19" t="inlineStr">
        <is>
          <t>🟢 обычный товар</t>
        </is>
      </c>
      <c r="I11" s="32" t="inlineStr">
        <is>
          <t>Низкий</t>
        </is>
      </c>
      <c r="J11" s="21" t="inlineStr">
        <is>
          <t>оценка</t>
        </is>
      </c>
      <c r="K11" s="33" t="inlineStr">
        <is>
          <t>OTC-ортезы MEA $119→125 млн, сконцентрированы в GCC. Много SKU по размерам.</t>
        </is>
      </c>
      <c r="L11" s="19" t="n"/>
    </row>
    <row r="12">
      <c r="A12" s="19" t="inlineStr">
        <is>
          <t>Фиксатор голеностопа</t>
        </is>
      </c>
      <c r="B12" s="19" t="inlineStr"/>
      <c r="C12" s="19" t="n"/>
      <c r="D12" s="29" t="n">
        <v>18</v>
      </c>
      <c r="E12" s="30">
        <f>D12*3.6725</f>
        <v/>
      </c>
      <c r="F12" s="22" t="n">
        <v>3000</v>
      </c>
      <c r="G12" s="26">
        <f>ROUND(F12/40,0)</f>
        <v/>
      </c>
      <c r="H12" s="19" t="inlineStr">
        <is>
          <t>🟢 обычный товар</t>
        </is>
      </c>
      <c r="I12" s="32" t="inlineStr">
        <is>
          <t>Низкий</t>
        </is>
      </c>
      <c r="J12" s="21" t="inlineStr">
        <is>
          <t>оценка</t>
        </is>
      </c>
      <c r="K12" s="33" t="inlineStr">
        <is>
          <t>Спорт/восстановление, лёгкий, дёшев в логистике.</t>
        </is>
      </c>
      <c r="L12" s="19" t="n"/>
    </row>
    <row r="13">
      <c r="A13" s="19" t="inlineStr">
        <is>
          <t>Поясничный пояс / поддержка спины</t>
        </is>
      </c>
      <c r="B13" s="19" t="inlineStr"/>
      <c r="C13" s="19" t="n"/>
      <c r="D13" s="29" t="n">
        <v>30</v>
      </c>
      <c r="E13" s="30">
        <f>D13*3.6725</f>
        <v/>
      </c>
      <c r="F13" s="22" t="n">
        <v>3000</v>
      </c>
      <c r="G13" s="26">
        <f>ROUND(F13/40,0)</f>
        <v/>
      </c>
      <c r="H13" s="19" t="inlineStr">
        <is>
          <t>🟢 обычный товар</t>
        </is>
      </c>
      <c r="I13" s="32" t="inlineStr">
        <is>
          <t>Низкий</t>
        </is>
      </c>
      <c r="J13" s="21" t="inlineStr">
        <is>
          <t>оценка</t>
        </is>
      </c>
      <c r="K13" s="33" t="inlineStr">
        <is>
          <t>Офисная/сидячая аудитория ОАЭ.</t>
        </is>
      </c>
      <c r="L13" s="19" t="n"/>
    </row>
    <row r="14">
      <c r="A14" s="19" t="inlineStr">
        <is>
          <t>Корректор осанки</t>
        </is>
      </c>
      <c r="B14" s="19" t="inlineStr"/>
      <c r="C14" s="19" t="n"/>
      <c r="D14" s="29" t="n">
        <v>28</v>
      </c>
      <c r="E14" s="30">
        <f>D14*3.6725</f>
        <v/>
      </c>
      <c r="F14" s="22" t="n">
        <v>5000</v>
      </c>
      <c r="G14" s="26">
        <f>ROUND(F14/40,0)</f>
        <v/>
      </c>
      <c r="H14" s="19" t="inlineStr">
        <is>
          <t>🟢 обычный товар</t>
        </is>
      </c>
      <c r="I14" s="32" t="inlineStr">
        <is>
          <t>Низкий</t>
        </is>
      </c>
      <c r="J14" s="21" t="inlineStr">
        <is>
          <t>оценка</t>
        </is>
      </c>
      <c r="K14" s="33" t="inlineStr">
        <is>
          <t>★ Рынок $1.46 млрд, CAGR 8.7%, на noon.ae. Лёгкий, вирусится в соцсетях.</t>
        </is>
      </c>
      <c r="L14" s="19" t="n"/>
    </row>
    <row r="15">
      <c r="A15" s="19" t="inlineStr">
        <is>
          <t>Компрессионные носки (перелёты/стоя)</t>
        </is>
      </c>
      <c r="B15" s="19" t="inlineStr"/>
      <c r="C15" s="19" t="n"/>
      <c r="D15" s="29" t="n">
        <v>20</v>
      </c>
      <c r="E15" s="30">
        <f>D15*3.6725</f>
        <v/>
      </c>
      <c r="F15" s="22" t="n">
        <v>5000</v>
      </c>
      <c r="G15" s="26">
        <f>ROUND(F15/40,0)</f>
        <v/>
      </c>
      <c r="H15" s="19" t="inlineStr">
        <is>
          <t>🟢 обычный товар</t>
        </is>
      </c>
      <c r="I15" s="32" t="inlineStr">
        <is>
          <t>Низкий</t>
        </is>
      </c>
      <c r="J15" s="21" t="inlineStr">
        <is>
          <t>оценка</t>
        </is>
      </c>
      <c r="K15" s="33" t="inlineStr">
        <is>
          <t>Тревел/работа стоя/варикоз. Лёгкие, повторные покупки.</t>
        </is>
      </c>
      <c r="L15" s="19" t="n"/>
    </row>
    <row r="16">
      <c r="A16" s="18" t="inlineStr">
        <is>
          <t>▸ Сон и комфорт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19" t="inlineStr">
        <is>
          <t>Маска для сна</t>
        </is>
      </c>
      <c r="B17" s="19" t="inlineStr"/>
      <c r="C17" s="19" t="n"/>
      <c r="D17" s="29" t="n">
        <v>15</v>
      </c>
      <c r="E17" s="30">
        <f>D17*3.6725</f>
        <v/>
      </c>
      <c r="F17" s="22" t="n">
        <v>8000</v>
      </c>
      <c r="G17" s="26">
        <f>ROUND(F17/40,0)</f>
        <v/>
      </c>
      <c r="H17" s="19" t="inlineStr">
        <is>
          <t>🟢 обычный товар</t>
        </is>
      </c>
      <c r="I17" s="32" t="inlineStr">
        <is>
          <t>Низкий</t>
        </is>
      </c>
      <c r="J17" s="21" t="inlineStr">
        <is>
          <t>оценка</t>
        </is>
      </c>
      <c r="K17" s="33" t="inlineStr">
        <is>
          <t>★ Массовый спрос, лёгкая, дешёвая логистика — хороший вход, но низкий чек.</t>
        </is>
      </c>
      <c r="L17" s="19" t="n"/>
    </row>
    <row r="18">
      <c r="A18" s="19" t="inlineStr">
        <is>
          <t>Подушка между ног</t>
        </is>
      </c>
      <c r="B18" s="19" t="inlineStr"/>
      <c r="C18" s="19" t="n"/>
      <c r="D18" s="29" t="n">
        <v>30</v>
      </c>
      <c r="E18" s="30">
        <f>D18*3.6725</f>
        <v/>
      </c>
      <c r="F18" s="22" t="n">
        <v>5000</v>
      </c>
      <c r="G18" s="26">
        <f>ROUND(F18/40,0)</f>
        <v/>
      </c>
      <c r="H18" s="19" t="inlineStr">
        <is>
          <t>🟢 обычный товар</t>
        </is>
      </c>
      <c r="I18" s="32" t="inlineStr">
        <is>
          <t>Низкий</t>
        </is>
      </c>
      <c r="J18" s="21" t="inlineStr">
        <is>
          <t>оценка</t>
        </is>
      </c>
      <c r="K18" s="33" t="inlineStr">
        <is>
          <t>Ортопедия сна; объёмный вес → закладывай FBA.</t>
        </is>
      </c>
      <c r="L18" s="19" t="n"/>
    </row>
    <row r="19">
      <c r="A19" s="19" t="inlineStr">
        <is>
          <t>Клиновидная подушка (wedge)</t>
        </is>
      </c>
      <c r="B19" s="19" t="inlineStr"/>
      <c r="C19" s="19" t="n"/>
      <c r="D19" s="29" t="n">
        <v>40</v>
      </c>
      <c r="E19" s="30">
        <f>D19*3.6725</f>
        <v/>
      </c>
      <c r="F19" s="22" t="n">
        <v>4000</v>
      </c>
      <c r="G19" s="26">
        <f>ROUND(F19/40,0)</f>
        <v/>
      </c>
      <c r="H19" s="19" t="inlineStr">
        <is>
          <t>🟢 обычный товар</t>
        </is>
      </c>
      <c r="I19" s="31" t="inlineStr">
        <is>
          <t>Средний</t>
        </is>
      </c>
      <c r="J19" s="21" t="inlineStr">
        <is>
          <t>оценка</t>
        </is>
      </c>
      <c r="K19" s="33" t="inlineStr">
        <is>
          <t>Объёмная → дорогой FBA/логистика, но высокий чек.</t>
        </is>
      </c>
      <c r="L19" s="19" t="n"/>
    </row>
    <row r="20">
      <c r="A20" s="19" t="inlineStr">
        <is>
          <t>Утяжелённое одеяло</t>
        </is>
      </c>
      <c r="B20" s="19" t="inlineStr"/>
      <c r="C20" s="19" t="n"/>
      <c r="D20" s="29" t="n">
        <v>50</v>
      </c>
      <c r="E20" s="30">
        <f>D20*3.6725</f>
        <v/>
      </c>
      <c r="F20" s="22" t="n">
        <v>5000</v>
      </c>
      <c r="G20" s="26">
        <f>ROUND(F20/40,0)</f>
        <v/>
      </c>
      <c r="H20" s="19" t="inlineStr">
        <is>
          <t>🟢 обычный товар</t>
        </is>
      </c>
      <c r="I20" s="31" t="inlineStr">
        <is>
          <t>Средний</t>
        </is>
      </c>
      <c r="J20" s="21" t="inlineStr">
        <is>
          <t>оценка</t>
        </is>
      </c>
      <c r="K20" s="33" t="inlineStr">
        <is>
          <t>Тяжёлое → дорогая логистика; высокий чек компенсирует.</t>
        </is>
      </c>
      <c r="L20" s="19" t="n"/>
    </row>
    <row r="21">
      <c r="A21" s="19" t="inlineStr">
        <is>
          <t>Устройство белого шума</t>
        </is>
      </c>
      <c r="B21" s="19" t="inlineStr"/>
      <c r="C21" s="19" t="n"/>
      <c r="D21" s="29" t="n">
        <v>45</v>
      </c>
      <c r="E21" s="30">
        <f>D21*3.6725</f>
        <v/>
      </c>
      <c r="F21" s="22" t="n">
        <v>4000</v>
      </c>
      <c r="G21" s="26">
        <f>ROUND(F21/40,0)</f>
        <v/>
      </c>
      <c r="H21" s="19" t="inlineStr">
        <is>
          <t>🟡 электроника (G-mark)</t>
        </is>
      </c>
      <c r="I21" s="31" t="inlineStr">
        <is>
          <t>Средний</t>
        </is>
      </c>
      <c r="J21" s="21" t="inlineStr">
        <is>
          <t>оценка</t>
        </is>
      </c>
      <c r="K21" s="33" t="inlineStr">
        <is>
          <t>Электроника; сон/дети. Сертификация.</t>
        </is>
      </c>
      <c r="L21" s="19" t="n"/>
    </row>
    <row r="22">
      <c r="A22" s="19" t="inlineStr">
        <is>
          <t>Поясничная подушка для авто/офиса</t>
        </is>
      </c>
      <c r="B22" s="19" t="inlineStr"/>
      <c r="C22" s="19" t="n"/>
      <c r="D22" s="29" t="n">
        <v>30</v>
      </c>
      <c r="E22" s="30">
        <f>D22*3.6725</f>
        <v/>
      </c>
      <c r="F22" s="22" t="n">
        <v>4000</v>
      </c>
      <c r="G22" s="26">
        <f>ROUND(F22/40,0)</f>
        <v/>
      </c>
      <c r="H22" s="19" t="inlineStr">
        <is>
          <t>🟢 обычный товар</t>
        </is>
      </c>
      <c r="I22" s="32" t="inlineStr">
        <is>
          <t>Низкий</t>
        </is>
      </c>
      <c r="J22" s="21" t="inlineStr">
        <is>
          <t>оценка</t>
        </is>
      </c>
      <c r="K22" s="33" t="inlineStr">
        <is>
          <t>Офис/авто, сидячая аудитория ОАЭ.</t>
        </is>
      </c>
      <c r="L22" s="19" t="n"/>
    </row>
    <row r="23">
      <c r="A23" s="18" t="inlineStr">
        <is>
          <t>▸ Охлаждение (ОАЭ-приоритет)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s="19" t="inlineStr">
        <is>
          <t>Охлаждающее полотенце</t>
        </is>
      </c>
      <c r="B24" s="19" t="inlineStr"/>
      <c r="C24" s="19" t="n"/>
      <c r="D24" s="29" t="n">
        <v>15</v>
      </c>
      <c r="E24" s="30">
        <f>D24*3.6725</f>
        <v/>
      </c>
      <c r="F24" s="22" t="n">
        <v>5000</v>
      </c>
      <c r="G24" s="26">
        <f>ROUND(F24/40,0)</f>
        <v/>
      </c>
      <c r="H24" s="19" t="inlineStr">
        <is>
          <t>🟢 обычный товар</t>
        </is>
      </c>
      <c r="I24" s="32" t="inlineStr">
        <is>
          <t>Низкий</t>
        </is>
      </c>
      <c r="J24" s="21" t="inlineStr">
        <is>
          <t>оценка</t>
        </is>
      </c>
      <c r="K24" s="33" t="inlineStr">
        <is>
          <t>★ Климат ОАЭ. Текстиль, лёгкий, дёшев. Низкий чек — бери в стек.</t>
        </is>
      </c>
      <c r="L24" s="19" t="n"/>
    </row>
    <row r="25">
      <c r="A25" s="19" t="inlineStr">
        <is>
          <t>Гелевая охлажд. маска для глаз</t>
        </is>
      </c>
      <c r="B25" s="19" t="inlineStr"/>
      <c r="C25" s="19" t="n"/>
      <c r="D25" s="29" t="n">
        <v>15</v>
      </c>
      <c r="E25" s="30">
        <f>D25*3.6725</f>
        <v/>
      </c>
      <c r="F25" s="22" t="n">
        <v>5000</v>
      </c>
      <c r="G25" s="26">
        <f>ROUND(F25/40,0)</f>
        <v/>
      </c>
      <c r="H25" s="19" t="inlineStr">
        <is>
          <t>🟢 обычный товар</t>
        </is>
      </c>
      <c r="I25" s="32" t="inlineStr">
        <is>
          <t>Низкий</t>
        </is>
      </c>
      <c r="J25" s="21" t="inlineStr">
        <is>
          <t>оценка</t>
        </is>
      </c>
      <c r="K25" s="33" t="inlineStr">
        <is>
          <t>★ Уход/гигиена, лёгкая, многоразовая.</t>
        </is>
      </c>
      <c r="L25" s="19" t="n"/>
    </row>
    <row r="26">
      <c r="A26" s="19" t="inlineStr">
        <is>
          <t>Многоразовый холодный гелевый компресс</t>
        </is>
      </c>
      <c r="B26" s="19" t="inlineStr"/>
      <c r="C26" s="19" t="n"/>
      <c r="D26" s="29" t="n">
        <v>18</v>
      </c>
      <c r="E26" s="30">
        <f>D26*3.6725</f>
        <v/>
      </c>
      <c r="F26" s="22" t="n">
        <v>5000</v>
      </c>
      <c r="G26" s="26">
        <f>ROUND(F26/40,0)</f>
        <v/>
      </c>
      <c r="H26" s="19" t="inlineStr">
        <is>
          <t>🟢 обычный товар</t>
        </is>
      </c>
      <c r="I26" s="32" t="inlineStr">
        <is>
          <t>Низкий</t>
        </is>
      </c>
      <c r="J26" s="21" t="inlineStr">
        <is>
          <t>оценка</t>
        </is>
      </c>
      <c r="K26" s="33" t="inlineStr">
        <is>
          <t>★ Обычный товар; избегай мед-claims (иначе → мед.изделие MOHAP).</t>
        </is>
      </c>
      <c r="L26" s="19" t="n"/>
    </row>
    <row r="27">
      <c r="A27" s="19" t="inlineStr">
        <is>
          <t>Охлаждающая подушка / наволочка</t>
        </is>
      </c>
      <c r="B27" s="19" t="inlineStr"/>
      <c r="C27" s="19" t="n"/>
      <c r="D27" s="29" t="n">
        <v>40</v>
      </c>
      <c r="E27" s="30">
        <f>D27*3.6725</f>
        <v/>
      </c>
      <c r="F27" s="22" t="n">
        <v>4000</v>
      </c>
      <c r="G27" s="26">
        <f>ROUND(F27/40,0)</f>
        <v/>
      </c>
      <c r="H27" s="19" t="inlineStr">
        <is>
          <t>🟢 обычный товар</t>
        </is>
      </c>
      <c r="I27" s="31" t="inlineStr">
        <is>
          <t>Средний</t>
        </is>
      </c>
      <c r="J27" s="21" t="inlineStr">
        <is>
          <t>оценка</t>
        </is>
      </c>
      <c r="K27" s="33" t="inlineStr">
        <is>
          <t>Объёмная. Климат ОАЭ. Премиум-чек.</t>
        </is>
      </c>
      <c r="L27" s="19" t="n"/>
    </row>
    <row r="28">
      <c r="A28" s="19" t="inlineStr">
        <is>
          <t>Ортоп. подушка с охлажд. чехлом</t>
        </is>
      </c>
      <c r="B28" s="19" t="inlineStr"/>
      <c r="C28" s="19" t="n"/>
      <c r="D28" s="29" t="n">
        <v>45</v>
      </c>
      <c r="E28" s="30">
        <f>D28*3.6725</f>
        <v/>
      </c>
      <c r="F28" s="22" t="n">
        <v>3000</v>
      </c>
      <c r="G28" s="26">
        <f>ROUND(F28/40,0)</f>
        <v/>
      </c>
      <c r="H28" s="19" t="inlineStr">
        <is>
          <t>🟢 обычный товар</t>
        </is>
      </c>
      <c r="I28" s="31" t="inlineStr">
        <is>
          <t>Средний</t>
        </is>
      </c>
      <c r="J28" s="21" t="inlineStr">
        <is>
          <t>оценка</t>
        </is>
      </c>
      <c r="K28" s="33" t="inlineStr">
        <is>
          <t>Объёмная, премиум. Сон в жару.</t>
        </is>
      </c>
      <c r="L28" s="19" t="n"/>
    </row>
    <row r="29">
      <c r="A29" s="19" t="inlineStr">
        <is>
          <t>USB-вентилятор</t>
        </is>
      </c>
      <c r="B29" s="19" t="inlineStr"/>
      <c r="C29" s="19" t="n"/>
      <c r="D29" s="29" t="n">
        <v>20</v>
      </c>
      <c r="E29" s="30">
        <f>D29*3.6725</f>
        <v/>
      </c>
      <c r="F29" s="22" t="n">
        <v>8000</v>
      </c>
      <c r="G29" s="26">
        <f>ROUND(F29/40,0)</f>
        <v/>
      </c>
      <c r="H29" s="19" t="inlineStr">
        <is>
          <t>🟡 электроника (G-mark)</t>
        </is>
      </c>
      <c r="I29" s="31" t="inlineStr">
        <is>
          <t>Средний</t>
        </is>
      </c>
      <c r="J29" s="21" t="inlineStr">
        <is>
          <t>оценка</t>
        </is>
      </c>
      <c r="K29" s="33" t="inlineStr">
        <is>
          <t>★ Электроника, массовый спрос в жару. Сертификация.</t>
        </is>
      </c>
      <c r="L29" s="19" t="n"/>
    </row>
    <row r="30">
      <c r="A30" s="19" t="inlineStr">
        <is>
          <t>Складной аккумуляторный вентилятор</t>
        </is>
      </c>
      <c r="B30" s="19" t="inlineStr"/>
      <c r="C30" s="19" t="n"/>
      <c r="D30" s="29" t="n">
        <v>30</v>
      </c>
      <c r="E30" s="30">
        <f>D30*3.6725</f>
        <v/>
      </c>
      <c r="F30" s="22" t="n">
        <v>5000</v>
      </c>
      <c r="G30" s="26">
        <f>ROUND(F30/40,0)</f>
        <v/>
      </c>
      <c r="H30" s="19" t="inlineStr">
        <is>
          <t>🟡 электроника (G-mark)</t>
        </is>
      </c>
      <c r="I30" s="31" t="inlineStr">
        <is>
          <t>Средний</t>
        </is>
      </c>
      <c r="J30" s="21" t="inlineStr">
        <is>
          <t>оценка</t>
        </is>
      </c>
      <c r="K30" s="33" t="inlineStr">
        <is>
          <t>★ Портативный, лето ОАЭ. Аккумулятор → правила перевозки.</t>
        </is>
      </c>
      <c r="L30" s="19" t="n"/>
    </row>
    <row r="31">
      <c r="A31" s="19" t="inlineStr">
        <is>
          <t>Шейный вентилятор / neck cooler</t>
        </is>
      </c>
      <c r="B31" s="19" t="inlineStr"/>
      <c r="C31" s="19" t="n"/>
      <c r="D31" s="29" t="n">
        <v>35</v>
      </c>
      <c r="E31" s="30">
        <f>D31*3.6725</f>
        <v/>
      </c>
      <c r="F31" s="22" t="n">
        <v>4000</v>
      </c>
      <c r="G31" s="26">
        <f>ROUND(F31/40,0)</f>
        <v/>
      </c>
      <c r="H31" s="19" t="inlineStr">
        <is>
          <t>🟡 электроника (G-mark)</t>
        </is>
      </c>
      <c r="I31" s="31" t="inlineStr">
        <is>
          <t>Средний</t>
        </is>
      </c>
      <c r="J31" s="21" t="inlineStr">
        <is>
          <t>оценка</t>
        </is>
      </c>
      <c r="K31" s="33" t="inlineStr">
        <is>
          <t>★ Вирусный товар, ОАЭ-жара. Электроника.</t>
        </is>
      </c>
      <c r="L31" s="19" t="n"/>
    </row>
    <row r="32">
      <c r="A32" s="19" t="inlineStr">
        <is>
          <t>Охлаждающий жилет (спорт/работа)</t>
        </is>
      </c>
      <c r="B32" s="19" t="inlineStr"/>
      <c r="C32" s="19" t="n"/>
      <c r="D32" s="29" t="n">
        <v>55</v>
      </c>
      <c r="E32" s="30">
        <f>D32*3.6725</f>
        <v/>
      </c>
      <c r="F32" s="22" t="n">
        <v>1500</v>
      </c>
      <c r="G32" s="26">
        <f>ROUND(F32/40,0)</f>
        <v/>
      </c>
      <c r="H32" s="19" t="inlineStr">
        <is>
          <t>🟡 электроника/гель</t>
        </is>
      </c>
      <c r="I32" s="31" t="inlineStr">
        <is>
          <t>Средний</t>
        </is>
      </c>
      <c r="J32" s="21" t="inlineStr">
        <is>
          <t>оценка</t>
        </is>
      </c>
      <c r="K32" s="33" t="inlineStr">
        <is>
          <t>Спорт/работа на улице. Проверь тип: гелевый (🟢) vs активный электро (🟡).</t>
        </is>
      </c>
      <c r="L32" s="19" t="n"/>
    </row>
    <row r="33">
      <c r="A33" s="19" t="inlineStr">
        <is>
          <t>Термосумка для холодных компрессов</t>
        </is>
      </c>
      <c r="B33" s="19" t="inlineStr"/>
      <c r="C33" s="19" t="n"/>
      <c r="D33" s="29" t="n">
        <v>25</v>
      </c>
      <c r="E33" s="30">
        <f>D33*3.6725</f>
        <v/>
      </c>
      <c r="F33" s="22" t="n">
        <v>2000</v>
      </c>
      <c r="G33" s="26">
        <f>ROUND(F33/40,0)</f>
        <v/>
      </c>
      <c r="H33" s="19" t="inlineStr">
        <is>
          <t>🟢 обычный товар</t>
        </is>
      </c>
      <c r="I33" s="32" t="inlineStr">
        <is>
          <t>Низкий</t>
        </is>
      </c>
      <c r="J33" s="21" t="inlineStr">
        <is>
          <t>оценка</t>
        </is>
      </c>
      <c r="K33" s="33" t="inlineStr">
        <is>
          <t>Аксессуар к компрессам, лёгкий.</t>
        </is>
      </c>
      <c r="L33" s="19" t="n"/>
    </row>
    <row r="34">
      <c r="A34" s="18" t="inlineStr">
        <is>
          <t>▸ Качество воздуха / увлажнение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s="19" t="inlineStr">
        <is>
          <t>Увлажнитель воздуха</t>
        </is>
      </c>
      <c r="B35" s="19" t="inlineStr"/>
      <c r="C35" s="19" t="n"/>
      <c r="D35" s="29" t="n">
        <v>40</v>
      </c>
      <c r="E35" s="30">
        <f>D35*3.6725</f>
        <v/>
      </c>
      <c r="F35" s="22" t="n">
        <v>8000</v>
      </c>
      <c r="G35" s="26">
        <f>ROUND(F35/40,0)</f>
        <v/>
      </c>
      <c r="H35" s="19" t="inlineStr">
        <is>
          <t>🟡 электроника (G-mark)</t>
        </is>
      </c>
      <c r="I35" s="31" t="inlineStr">
        <is>
          <t>Средний</t>
        </is>
      </c>
      <c r="J35" s="21" t="inlineStr">
        <is>
          <t>оценка</t>
        </is>
      </c>
      <c r="K35" s="33" t="inlineStr">
        <is>
          <t>Электроника. Сухой климат/кондиционеры ОАЭ = стабильный спрос.</t>
        </is>
      </c>
      <c r="L35" s="19" t="n"/>
    </row>
    <row r="36">
      <c r="A36" s="19" t="inlineStr">
        <is>
          <t>Увлажнитель с гигрометром</t>
        </is>
      </c>
      <c r="B36" s="19" t="inlineStr"/>
      <c r="C36" s="19" t="n"/>
      <c r="D36" s="29" t="n">
        <v>50</v>
      </c>
      <c r="E36" s="30">
        <f>D36*3.6725</f>
        <v/>
      </c>
      <c r="F36" s="22" t="n">
        <v>3000</v>
      </c>
      <c r="G36" s="26">
        <f>ROUND(F36/40,0)</f>
        <v/>
      </c>
      <c r="H36" s="19" t="inlineStr">
        <is>
          <t>🟡 электроника (G-mark)</t>
        </is>
      </c>
      <c r="I36" s="31" t="inlineStr">
        <is>
          <t>Средний</t>
        </is>
      </c>
      <c r="J36" s="21" t="inlineStr">
        <is>
          <t>оценка</t>
        </is>
      </c>
      <c r="K36" s="33" t="inlineStr">
        <is>
          <t>Премиум-версия с датчиком влажности.</t>
        </is>
      </c>
      <c r="L36" s="19" t="n"/>
    </row>
    <row r="37">
      <c r="A37" s="19" t="inlineStr">
        <is>
          <t>Датчик CO₂ / PM2.5 / темп. / влажности</t>
        </is>
      </c>
      <c r="B37" s="19" t="inlineStr"/>
      <c r="C37" s="19" t="n"/>
      <c r="D37" s="29" t="n">
        <v>80</v>
      </c>
      <c r="E37" s="30">
        <f>D37*3.6725</f>
        <v/>
      </c>
      <c r="F37" s="22" t="n">
        <v>2000</v>
      </c>
      <c r="G37" s="26">
        <f>ROUND(F37/40,0)</f>
        <v/>
      </c>
      <c r="H37" s="19" t="inlineStr">
        <is>
          <t>🟡 электроника (G-mark)</t>
        </is>
      </c>
      <c r="I37" s="31" t="inlineStr">
        <is>
          <t>Средний</t>
        </is>
      </c>
      <c r="J37" s="21" t="inlineStr">
        <is>
          <t>оценка</t>
        </is>
      </c>
      <c r="K37" s="33" t="inlineStr">
        <is>
          <t>Растущая ниша air-quality, высокий чек. Сертификация.</t>
        </is>
      </c>
      <c r="L37" s="19" t="n"/>
    </row>
    <row r="38">
      <c r="A38" s="18" t="inlineStr">
        <is>
          <t>▸ Йога / фитнес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s="19" t="inlineStr">
        <is>
          <t>Коврик для йоги / гимнастики</t>
        </is>
      </c>
      <c r="B39" s="19" t="inlineStr"/>
      <c r="C39" s="19" t="n"/>
      <c r="D39" s="29" t="n">
        <v>30</v>
      </c>
      <c r="E39" s="30">
        <f>D39*3.6725</f>
        <v/>
      </c>
      <c r="F39" s="22" t="n">
        <v>6000</v>
      </c>
      <c r="G39" s="26">
        <f>ROUND(F39/40,0)</f>
        <v/>
      </c>
      <c r="H39" s="19" t="inlineStr">
        <is>
          <t>🟢 обычный товар</t>
        </is>
      </c>
      <c r="I39" s="31" t="inlineStr">
        <is>
          <t>Средний</t>
        </is>
      </c>
      <c r="J39" s="21" t="inlineStr">
        <is>
          <t>оценка</t>
        </is>
      </c>
      <c r="K39" s="33" t="inlineStr">
        <is>
          <t>Объёмный/тяжёлый → FBA дороже. Дом/пляж/спорт.</t>
        </is>
      </c>
      <c r="L39" s="19" t="n"/>
    </row>
    <row r="41">
      <c r="A41" s="2" t="inlineStr">
        <is>
          <t>«Данные»: Keepa = продажи US реальные; оценка (оранжевый) = US-объём прикинут, уточни title-поиском в Keepa. Регистрация ОАЭ: 🟢 обычный товар (легко) · 🟡 электроника (сертификация/G-mark) · 🔴 мед.изделие (MOHAP). ★ в комментарии = приоритетно для ОАЭ (климат/тренд/лёгкий вход).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L3" r:id="rId2"/>
    <hyperlink xmlns:r="http://schemas.openxmlformats.org/officeDocument/2006/relationships" ref="C10" r:id="rId3"/>
    <hyperlink xmlns:r="http://schemas.openxmlformats.org/officeDocument/2006/relationships" ref="L10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ФОКУС: БЕЗ БАД. Регуляторные уровни для не-проглатываемых товаров</t>
        </is>
      </c>
    </row>
    <row r="23">
      <c r="A23" t="inlineStr">
        <is>
          <t>• БАД/добавки ИСКЛЮЧЕНЫ из подбора (по требованию). Ниже — только физические не-проглатываемые товары.</t>
        </is>
      </c>
    </row>
    <row r="24">
      <c r="A24" t="inlineStr">
        <is>
          <t>• ВАЖНО: «не БАД» НЕ значит «без регистрации». Уровни барьера:</t>
        </is>
      </c>
    </row>
    <row r="25">
      <c r="A25" t="inlineStr">
        <is>
          <t xml:space="preserve">   🟢 Обычный товар — бандажи, компрессия, стельки, органайзеры, корректор осанки, акупресс.коврик,</t>
        </is>
      </c>
    </row>
    <row r="26">
      <c r="A26" t="inlineStr">
        <is>
          <t xml:space="preserve">      женская гигиена, аптечка-набор. Нужен трейд-лайсенс + соответствие маркировке (ар/англ). Легче всего.</t>
        </is>
      </c>
    </row>
    <row r="27">
      <c r="A27" t="inlineStr">
        <is>
          <t xml:space="preserve">   🟡 Оральная косметика — отбеливание зубов, паста: регистрация косметики (легче БАД, но нужна).</t>
        </is>
      </c>
    </row>
    <row r="28">
      <c r="A28" t="inlineStr">
        <is>
          <t xml:space="preserve">   🟡 Электроника — массаж-пистолет, электрогрелка, тонометр: сертификация/G-mark на электронику.</t>
        </is>
      </c>
    </row>
    <row r="29">
      <c r="A29" t="inlineStr">
        <is>
          <t xml:space="preserve">   🔴 Мед.изделия — раневые повязки, TENS, глюкометры, тонометры (как мед.прибор): регистрация MOHAP.</t>
        </is>
      </c>
    </row>
    <row r="30">
      <c r="A30" t="inlineStr">
        <is>
          <t>• Вывод: новичку стартовать с 🟢-товаров (бандаж FREETOO, компрессия, органик-гигиена, стельки,</t>
        </is>
      </c>
    </row>
    <row r="31">
      <c r="A31" t="inlineStr">
        <is>
          <t xml:space="preserve">  органайзер). Косметику/электронику/мед.изделия — вторым шагом, когда готов пройти их регистрацию.</t>
        </is>
      </c>
    </row>
    <row r="32">
      <c r="A32" t="inlineStr"/>
    </row>
    <row r="33">
      <c r="A33" s="5" t="inlineStr">
        <is>
          <t>ДОПУЩЕНИЯ ПО УМОЛЧАНИЮ (меняй под себя)</t>
        </is>
      </c>
    </row>
    <row r="34">
      <c r="A34" t="inlineStr">
        <is>
          <t>• Курс USD→AED = 3.6725 (жёсткая привязка дирхама).</t>
        </is>
      </c>
    </row>
    <row r="35">
      <c r="A35" t="inlineStr">
        <is>
          <t>• Реферальная комиссия Amazon.ae для Health/Beauty ≈ 8–15% (взял 15% консервативно).</t>
        </is>
      </c>
    </row>
    <row r="36">
      <c r="A36" t="inlineStr">
        <is>
          <t>• FBA fulfilment и фикс-расходы — ориентировочные; уточни в Seller Central ОАЭ под свой вес/габарит.</t>
        </is>
      </c>
    </row>
    <row r="37">
      <c r="A37" t="inlineStr">
        <is>
          <t>• НДС ОАЭ 5% — собирается сверху цены и перечисляется государству, в чистую прибыль НЕ входит.</t>
        </is>
      </c>
    </row>
    <row r="38">
      <c r="A38" t="inlineStr">
        <is>
          <t>• monthly_sold из Keepa округляется бакетами (500/1K/2K/…); это оценка «куплено за месяц», не точное число.</t>
        </is>
      </c>
    </row>
    <row r="39">
      <c r="A39" t="inlineStr"/>
    </row>
    <row r="40">
      <c r="A40" s="5" t="inlineStr">
        <is>
          <t>ИСТОЧНИКИ ДАННЫХ</t>
        </is>
      </c>
    </row>
    <row r="41">
      <c r="A41" t="inlineStr">
        <is>
          <t>• Keepa Product Finder, категория Health &amp; Household (US, catId 3760901) — продажи/цены/конкуренция.</t>
        </is>
      </c>
    </row>
    <row r="42">
      <c r="A42" t="inlineStr">
        <is>
          <t>• Amazon global revenue (ecommerceDB/Statista) и amazon.ae sales — для оценки масштаба рынков.</t>
        </is>
      </c>
    </row>
    <row r="43">
      <c r="A43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2026-07-15T12:17:04Z</dcterms:created>
  <dcterms:modified xmlns:dcterms="http://purl.org/dc/terms/" xmlns:xsi="http://www.w3.org/2001/XMLSchema-instance" xsi:type="dcterms:W3CDTF">2026-07-15T12:17:04Z</dcterms:modified>
</cp:coreProperties>
</file>