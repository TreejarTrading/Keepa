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Сценарии" sheetId="2" state="visible" r:id="rId2"/>
    <sheet name="Кандидаты US→ОАЭ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0&quot; AED&quot;"/>
    <numFmt numFmtId="166" formatCode="0.0%"/>
    <numFmt numFmtId="167" formatCode="#,##0&quot; $&quot;"/>
    <numFmt numFmtId="168" formatCode="0.0"/>
    <numFmt numFmtId="169" formatCode="&quot;÷&quot;0"/>
    <numFmt numFmtId="170" formatCode="#,##0.00&quot; $&quot;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2"/>
    </font>
    <font>
      <b val="1"/>
    </font>
    <font>
      <i val="1"/>
      <color rgb="00C000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0" fillId="3" borderId="1" pivotButton="0" quotePrefix="0" xfId="0"/>
    <xf numFmtId="167" fontId="0" fillId="4" borderId="1" pivotButton="0" quotePrefix="0" xfId="0"/>
    <xf numFmtId="168" fontId="0" fillId="4" borderId="1" pivotButton="0" quotePrefix="0" xfId="0"/>
    <xf numFmtId="0" fontId="5" fillId="0" borderId="0" applyAlignment="1" pivotButton="0" quotePrefix="0" xfId="0">
      <alignment vertical="top" wrapText="1"/>
    </xf>
    <xf numFmtId="166" fontId="4" fillId="5" borderId="0" pivotButton="0" quotePrefix="0" xfId="0"/>
    <xf numFmtId="165" fontId="4" fillId="0" borderId="0" pivotButton="0" quotePrefix="0" xfId="0"/>
    <xf numFmtId="3" fontId="0" fillId="0" borderId="1" pivotButton="0" quotePrefix="0" xfId="0"/>
    <xf numFmtId="169" fontId="4" fillId="5" borderId="0" pivotButton="0" quotePrefix="0" xfId="0"/>
    <xf numFmtId="3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70" fontId="0" fillId="0" borderId="1" pivotButton="0" quotePrefix="0" xfId="0"/>
    <xf numFmtId="165" fontId="0" fillId="0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7" borderId="1" pivotButton="0" quotePrefix="0" xfId="0"/>
    <xf numFmtId="0" fontId="0" fillId="8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ФИН-МОДЕЛЬ: Health Products — США → ОАЭ</t>
        </is>
      </c>
    </row>
    <row r="2">
      <c r="A2" s="2" t="inlineStr">
        <is>
          <t>Жёлтые ячейки — вводишь свои данные. Зелёные — считаются сами.</t>
        </is>
      </c>
    </row>
    <row r="4">
      <c r="A4" s="3" t="inlineStr">
        <is>
          <t>1. КУРС И ЦЕЛЬ</t>
        </is>
      </c>
      <c r="B4" s="4" t="n"/>
      <c r="C4" s="4" t="n"/>
      <c r="D4" s="4" t="n"/>
    </row>
    <row r="5">
      <c r="A5" s="5" t="inlineStr">
        <is>
          <t>Курс USD → AED</t>
        </is>
      </c>
      <c r="B5" s="6" t="n">
        <v>3.6725</v>
      </c>
      <c r="C5" s="2" t="inlineStr">
        <is>
          <t>дирхам привязан к доллару (~3.6725)</t>
        </is>
      </c>
    </row>
    <row r="6">
      <c r="A6" s="5" t="inlineStr">
        <is>
          <t>Целевая ЧИСТАЯ прибыль, AED/мес</t>
        </is>
      </c>
      <c r="B6" s="7" t="n">
        <v>3500</v>
      </c>
      <c r="C6" s="2" t="inlineStr">
        <is>
          <t>«на руки» — из ТЗ ≈ 3 500 AED</t>
        </is>
      </c>
    </row>
    <row r="7">
      <c r="A7" s="5" t="inlineStr">
        <is>
          <t>Целевой ОБОРОТ, AED/мес (альтерн. цель)</t>
        </is>
      </c>
      <c r="B7" s="7" t="n">
        <v>10000</v>
      </c>
      <c r="C7" s="2" t="inlineStr">
        <is>
          <t>из ТЗ — 10 000 AED выручки</t>
        </is>
      </c>
    </row>
    <row r="9">
      <c r="A9" s="3" t="inlineStr">
        <is>
          <t>2. ЮНИТ-ЭКОНОМИКА (на 1 шт, в AED)</t>
        </is>
      </c>
      <c r="B9" s="4" t="n"/>
      <c r="C9" s="4" t="n"/>
      <c r="D9" s="4" t="n"/>
    </row>
    <row r="10">
      <c r="A10" s="5" t="inlineStr">
        <is>
          <t>Цена продажи на amazon.ae / noon, AED</t>
        </is>
      </c>
      <c r="B10" s="7" t="n">
        <v>150</v>
      </c>
      <c r="C10" s="2" t="inlineStr">
        <is>
          <t>розничная цена за 1 шт</t>
        </is>
      </c>
    </row>
    <row r="11">
      <c r="A11" s="5" t="inlineStr">
        <is>
          <t>Себестоимость landed (завод+логистика в ОАЭ), AED</t>
        </is>
      </c>
      <c r="B11" s="7" t="n">
        <v>40</v>
      </c>
      <c r="C11" s="2" t="inlineStr">
        <is>
          <t>закупка + доставка + растаможка на 1 шт</t>
        </is>
      </c>
    </row>
    <row r="12">
      <c r="A12" s="5" t="inlineStr">
        <is>
          <t>Реферальная комиссия Amazon, %</t>
        </is>
      </c>
      <c r="B12" s="8" t="n">
        <v>0.15</v>
      </c>
      <c r="C12" s="2" t="inlineStr">
        <is>
          <t>Health/Beauty на amazon.ae ≈ 8–15%</t>
        </is>
      </c>
    </row>
    <row r="13">
      <c r="A13" s="5" t="inlineStr">
        <is>
          <t>Фулфилмент FBA, AED/шт</t>
        </is>
      </c>
      <c r="B13" s="7" t="n">
        <v>15</v>
      </c>
      <c r="C13" s="2" t="inlineStr">
        <is>
          <t>pick&amp;pack + вес; лёгкий товар дешевле</t>
        </is>
      </c>
    </row>
    <row r="14">
      <c r="A14" s="5" t="inlineStr">
        <is>
          <t>Реклама PPC, AED/шт</t>
        </is>
      </c>
      <c r="B14" s="7" t="n">
        <v>15</v>
      </c>
      <c r="C14" s="2" t="inlineStr">
        <is>
          <t>бюджет продвижения на 1 проданную шт</t>
        </is>
      </c>
    </row>
    <row r="15">
      <c r="A15" s="5" t="inlineStr">
        <is>
          <t>Возвраты + прочее, % от цены</t>
        </is>
      </c>
      <c r="B15" s="8" t="n">
        <v>0.03</v>
      </c>
      <c r="C15" s="2" t="inlineStr">
        <is>
          <t>брак, возвраты, упаковка</t>
        </is>
      </c>
    </row>
    <row r="16">
      <c r="A16" s="5" t="inlineStr">
        <is>
          <t>НДС (VAT) ОАЭ, %</t>
        </is>
      </c>
      <c r="B16" s="8" t="n">
        <v>0.05</v>
      </c>
      <c r="C16" s="2" t="inlineStr">
        <is>
          <t>5% — собирается сверху и перечисляется, в прибыль НЕ идёт</t>
        </is>
      </c>
    </row>
    <row r="17">
      <c r="A17" s="5" t="inlineStr">
        <is>
          <t xml:space="preserve">  → Реферальная комиссия, AED</t>
        </is>
      </c>
      <c r="B17" s="9">
        <f>B10*B12</f>
        <v/>
      </c>
    </row>
    <row r="18">
      <c r="A18" s="5" t="inlineStr">
        <is>
          <t xml:space="preserve">  → Возвраты/прочее, AED</t>
        </is>
      </c>
      <c r="B18" s="9">
        <f>B10*B15</f>
        <v/>
      </c>
    </row>
    <row r="19">
      <c r="A19" s="5" t="inlineStr">
        <is>
          <t xml:space="preserve">  → ВАЛОВАЯ прибыль с 1 шт, AED</t>
        </is>
      </c>
      <c r="B19" s="9">
        <f>B10-B11-B17-B13-B14-B18</f>
        <v/>
      </c>
      <c r="C19" s="2" t="inlineStr">
        <is>
          <t>цена минус все переменные затраты (без НДС)</t>
        </is>
      </c>
    </row>
    <row r="20">
      <c r="A20" s="5" t="inlineStr">
        <is>
          <t xml:space="preserve">  → Маржа, % от цены</t>
        </is>
      </c>
      <c r="B20" s="10">
        <f>B19/B10</f>
        <v/>
      </c>
      <c r="C20" s="2" t="inlineStr">
        <is>
          <t>цель по ТЗ: ≥ 30%</t>
        </is>
      </c>
    </row>
    <row r="21">
      <c r="A21" s="5" t="inlineStr">
        <is>
          <t xml:space="preserve">  → Проверка маржи (≥30%?)</t>
        </is>
      </c>
      <c r="B21" s="11">
        <f>IF(B20&gt;=0.3,"✅ OK (≥30%)","⚠️ ниже 30% — поднять цену / снизить COGS")</f>
        <v/>
      </c>
    </row>
    <row r="23">
      <c r="A23" s="3" t="inlineStr">
        <is>
          <t>3. СКОЛЬКО ПРОДАВАТЬ (расчёт объёма)</t>
        </is>
      </c>
      <c r="B23" s="4" t="n"/>
      <c r="C23" s="4" t="n"/>
      <c r="D23" s="4" t="n"/>
    </row>
    <row r="24">
      <c r="A24" s="5" t="inlineStr">
        <is>
          <t>Фикс. расходы, AED/мес</t>
        </is>
      </c>
      <c r="B24" s="7" t="n">
        <v>300</v>
      </c>
      <c r="C24" s="2" t="inlineStr">
        <is>
          <t>хранение, подписка seller, сервисы</t>
        </is>
      </c>
    </row>
    <row r="25">
      <c r="A25" s="5" t="inlineStr">
        <is>
          <t>Юнитов/мес для целевой ПРИБЫЛИ</t>
        </is>
      </c>
      <c r="B25" s="12">
        <f>ROUNDUP((B6+B24)/B19,0)</f>
        <v/>
      </c>
      <c r="C25" s="2">
        <f> (цель прибыли + фикс) / валовая прибыль с шт</f>
        <v/>
      </c>
    </row>
    <row r="26">
      <c r="A26" s="5" t="inlineStr">
        <is>
          <t xml:space="preserve">  → Оборот при этом объёме, AED/мес</t>
        </is>
      </c>
      <c r="B26" s="9">
        <f>B25*B10</f>
        <v/>
      </c>
    </row>
    <row r="27">
      <c r="A27" s="5" t="inlineStr">
        <is>
          <t>Юнитов/мес для целевого ОБОРОТА</t>
        </is>
      </c>
      <c r="B27" s="12">
        <f>ROUNDUP(B7/B10,0)</f>
        <v/>
      </c>
      <c r="C27" s="2">
        <f> целевой оборот / цена</f>
        <v/>
      </c>
    </row>
    <row r="28">
      <c r="A28" s="5" t="inlineStr">
        <is>
          <t xml:space="preserve">  → Чистая прибыль при этом обороте, AED/мес</t>
        </is>
      </c>
      <c r="B28" s="9">
        <f>B27*B19-B24</f>
        <v/>
      </c>
    </row>
    <row r="30">
      <c r="A30" s="3" t="inlineStr">
        <is>
          <t>4. ПРОВЕРКА СПРОСА: США → ОАЭ (÷ коэффициент)</t>
        </is>
      </c>
      <c r="B30" s="4" t="n"/>
      <c r="C30" s="4" t="n"/>
      <c r="D30" s="4" t="n"/>
    </row>
    <row r="31">
      <c r="A31" s="5" t="inlineStr">
        <is>
          <t>Продажи в США, шт/мес (из Keepa)</t>
        </is>
      </c>
      <c r="B31" s="13" t="n">
        <v>10000</v>
      </c>
      <c r="C31" s="2" t="inlineStr">
        <is>
          <t>monthly_sold конкретного товара/ниши</t>
        </is>
      </c>
    </row>
    <row r="32">
      <c r="A32" s="5" t="inlineStr">
        <is>
          <t>Понижающий коэффициент США→ОАЭ</t>
        </is>
      </c>
      <c r="B32" s="13" t="n">
        <v>40</v>
      </c>
      <c r="C32" s="2" t="inlineStr">
        <is>
          <t>из ТЗ: 2000 в США → 50 в ОАЭ = ÷40</t>
        </is>
      </c>
    </row>
    <row r="33">
      <c r="A33" s="5" t="inlineStr">
        <is>
          <t xml:space="preserve">  → Оценка спроса ОАЭ, шт/мес (весь рынок)</t>
        </is>
      </c>
      <c r="B33" s="12">
        <f>ROUND(B31/B32,0)</f>
        <v/>
      </c>
      <c r="C33" s="2" t="inlineStr">
        <is>
          <t>весь объём ниши в ОАЭ, не наш</t>
        </is>
      </c>
    </row>
    <row r="34">
      <c r="A34" s="5" t="inlineStr">
        <is>
          <t xml:space="preserve">  → Наша доля рынка для цели по прибыли</t>
        </is>
      </c>
      <c r="B34" s="10">
        <f>B25/B33</f>
        <v/>
      </c>
      <c r="C34" s="2" t="inlineStr">
        <is>
          <t>какую долю ниши надо взять</t>
        </is>
      </c>
    </row>
    <row r="35">
      <c r="A35" s="5" t="inlineStr">
        <is>
          <t xml:space="preserve">  → ВЕРДИКТ по реалистичности</t>
        </is>
      </c>
      <c r="B35" s="11">
        <f>IF(B25&lt;=B33*0.3,"✅ РЕАЛЬНО (нужно ≤30% ниши)",IF(B25&lt;=B33,"⚠️ НАПРЯЖНО (нужна большая доля ниши)","❌ НЕ ВЛЕЗАЕМ (спрос ОАЭ меньше цели)"))</f>
        <v/>
      </c>
    </row>
    <row r="37">
      <c r="A37" s="3" t="inlineStr">
        <is>
          <t>5. ЗАКУПКА (первая партия)</t>
        </is>
      </c>
      <c r="B37" s="4" t="n"/>
      <c r="C37" s="4" t="n"/>
      <c r="D37" s="4" t="n"/>
    </row>
    <row r="38">
      <c r="A38" s="5" t="inlineStr">
        <is>
          <t>На сколько месяцев берём запас</t>
        </is>
      </c>
      <c r="B38" s="13" t="n">
        <v>2</v>
      </c>
      <c r="C38" s="2" t="inlineStr">
        <is>
          <t>1-я партия обычно на 1.5–2.5 мес</t>
        </is>
      </c>
    </row>
    <row r="39">
      <c r="A39" s="5" t="inlineStr">
        <is>
          <t>Юнитов заказать (по цели прибыли)</t>
        </is>
      </c>
      <c r="B39" s="12">
        <f>ROUNDUP(B25*B38,0)</f>
        <v/>
      </c>
    </row>
    <row r="40">
      <c r="A40" s="5" t="inlineStr">
        <is>
          <t>Капитал на партию, AED</t>
        </is>
      </c>
      <c r="B40" s="9">
        <f>B39*B11</f>
        <v/>
      </c>
      <c r="C40" s="2">
        <f> юнитов × себестоимость</f>
        <v/>
      </c>
    </row>
    <row r="41">
      <c r="A41" s="5" t="inlineStr">
        <is>
          <t xml:space="preserve">  → то же в USD</t>
        </is>
      </c>
      <c r="B41" s="14">
        <f>B40/B5</f>
        <v/>
      </c>
    </row>
    <row r="42">
      <c r="A42" s="5" t="inlineStr">
        <is>
          <t>Окупаемость партии, мес</t>
        </is>
      </c>
      <c r="B42" s="15">
        <f>B40/(B25*B19)</f>
        <v/>
      </c>
      <c r="C42" s="2" t="inlineStr">
        <is>
          <t>капитал / валовая прибыль в мес</t>
        </is>
      </c>
    </row>
    <row r="45">
      <c r="A45" s="16" t="inlineStr">
        <is>
          <t>Как читать: заполни жёлтые ячейки (цена, себестоимость, продажи в США, коэффициент). Строка «Юнитов/мес для целевой ПРИБЫЛИ» и «ВЕРДИКТ по реалистичности» — главный ответ. Если вердикт ❌/⚠️ — снижай цель, поднимай цену/маржу или бери коэффициент реалистичнее.</t>
        </is>
      </c>
    </row>
    <row r="46"/>
    <row r="47"/>
  </sheetData>
  <mergeCells count="1">
    <mergeCell ref="A45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СЦЕНАРИИ — сколько юнитов/мес нужно для цели по прибыли</t>
        </is>
      </c>
    </row>
    <row r="2">
      <c r="A2" s="2" t="inlineStr">
        <is>
          <t>Все формулы тянут вход с листа «Модель». Меняешь там — тут пересчитывается.</t>
        </is>
      </c>
    </row>
    <row r="4">
      <c r="A4" s="3" t="inlineStr">
        <is>
          <t>A. Юнитов/мес для цели по прибыли — при разной цене и марже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Цена, AED \ Маржа →</t>
        </is>
      </c>
      <c r="B5" s="17" t="n">
        <v>0.2</v>
      </c>
      <c r="C5" s="17" t="n">
        <v>0.25</v>
      </c>
      <c r="D5" s="17" t="n">
        <v>0.3</v>
      </c>
      <c r="E5" s="17" t="n">
        <v>0.35</v>
      </c>
      <c r="F5" s="17" t="n">
        <v>0.4</v>
      </c>
      <c r="G5" s="17" t="n">
        <v>0.5</v>
      </c>
    </row>
    <row r="6">
      <c r="A6" s="18" t="n">
        <v>50</v>
      </c>
      <c r="B6" s="19">
        <f>ROUNDUP((Модель!B6+Модель!B24)/(A6*B5),0)</f>
        <v/>
      </c>
      <c r="C6" s="19">
        <f>ROUNDUP((Модель!B6+Модель!B24)/(A6*C5),0)</f>
        <v/>
      </c>
      <c r="D6" s="19">
        <f>ROUNDUP((Модель!B6+Модель!B24)/(A6*D5),0)</f>
        <v/>
      </c>
      <c r="E6" s="19">
        <f>ROUNDUP((Модель!B6+Модель!B24)/(A6*E5),0)</f>
        <v/>
      </c>
      <c r="F6" s="19">
        <f>ROUNDUP((Модель!B6+Модель!B24)/(A6*F5),0)</f>
        <v/>
      </c>
      <c r="G6" s="19">
        <f>ROUNDUP((Модель!B6+Модель!B24)/(A6*G5),0)</f>
        <v/>
      </c>
    </row>
    <row r="7">
      <c r="A7" s="18" t="n">
        <v>70</v>
      </c>
      <c r="B7" s="19">
        <f>ROUNDUP((Модель!B6+Модель!B24)/(A7*B5),0)</f>
        <v/>
      </c>
      <c r="C7" s="19">
        <f>ROUNDUP((Модель!B6+Модель!B24)/(A7*C5),0)</f>
        <v/>
      </c>
      <c r="D7" s="19">
        <f>ROUNDUP((Модель!B6+Модель!B24)/(A7*D5),0)</f>
        <v/>
      </c>
      <c r="E7" s="19">
        <f>ROUNDUP((Модель!B6+Модель!B24)/(A7*E5),0)</f>
        <v/>
      </c>
      <c r="F7" s="19">
        <f>ROUNDUP((Модель!B6+Модель!B24)/(A7*F5),0)</f>
        <v/>
      </c>
      <c r="G7" s="19">
        <f>ROUNDUP((Модель!B6+Модель!B24)/(A7*G5),0)</f>
        <v/>
      </c>
    </row>
    <row r="8">
      <c r="A8" s="18" t="n">
        <v>90</v>
      </c>
      <c r="B8" s="19">
        <f>ROUNDUP((Модель!B6+Модель!B24)/(A8*B5),0)</f>
        <v/>
      </c>
      <c r="C8" s="19">
        <f>ROUNDUP((Модель!B6+Модель!B24)/(A8*C5),0)</f>
        <v/>
      </c>
      <c r="D8" s="19">
        <f>ROUNDUP((Модель!B6+Модель!B24)/(A8*D5),0)</f>
        <v/>
      </c>
      <c r="E8" s="19">
        <f>ROUNDUP((Модель!B6+Модель!B24)/(A8*E5),0)</f>
        <v/>
      </c>
      <c r="F8" s="19">
        <f>ROUNDUP((Модель!B6+Модель!B24)/(A8*F5),0)</f>
        <v/>
      </c>
      <c r="G8" s="19">
        <f>ROUNDUP((Модель!B6+Модель!B24)/(A8*G5),0)</f>
        <v/>
      </c>
    </row>
    <row r="9">
      <c r="A9" s="18" t="n">
        <v>120</v>
      </c>
      <c r="B9" s="19">
        <f>ROUNDUP((Модель!B6+Модель!B24)/(A9*B5),0)</f>
        <v/>
      </c>
      <c r="C9" s="19">
        <f>ROUNDUP((Модель!B6+Модель!B24)/(A9*C5),0)</f>
        <v/>
      </c>
      <c r="D9" s="19">
        <f>ROUNDUP((Модель!B6+Модель!B24)/(A9*D5),0)</f>
        <v/>
      </c>
      <c r="E9" s="19">
        <f>ROUNDUP((Модель!B6+Модель!B24)/(A9*E5),0)</f>
        <v/>
      </c>
      <c r="F9" s="19">
        <f>ROUNDUP((Модель!B6+Модель!B24)/(A9*F5),0)</f>
        <v/>
      </c>
      <c r="G9" s="19">
        <f>ROUNDUP((Модель!B6+Модель!B24)/(A9*G5),0)</f>
        <v/>
      </c>
    </row>
    <row r="10">
      <c r="A10" s="18" t="n">
        <v>150</v>
      </c>
      <c r="B10" s="19">
        <f>ROUNDUP((Модель!B6+Модель!B24)/(A10*B5),0)</f>
        <v/>
      </c>
      <c r="C10" s="19">
        <f>ROUNDUP((Модель!B6+Модель!B24)/(A10*C5),0)</f>
        <v/>
      </c>
      <c r="D10" s="19">
        <f>ROUNDUP((Модель!B6+Модель!B24)/(A10*D5),0)</f>
        <v/>
      </c>
      <c r="E10" s="19">
        <f>ROUNDUP((Модель!B6+Модель!B24)/(A10*E5),0)</f>
        <v/>
      </c>
      <c r="F10" s="19">
        <f>ROUNDUP((Модель!B6+Модель!B24)/(A10*F5),0)</f>
        <v/>
      </c>
      <c r="G10" s="19">
        <f>ROUNDUP((Модель!B6+Модель!B24)/(A10*G5),0)</f>
        <v/>
      </c>
    </row>
    <row r="11">
      <c r="A11" s="18" t="n">
        <v>200</v>
      </c>
      <c r="B11" s="19">
        <f>ROUNDUP((Модель!B6+Модель!B24)/(A11*B5),0)</f>
        <v/>
      </c>
      <c r="C11" s="19">
        <f>ROUNDUP((Модель!B6+Модель!B24)/(A11*C5),0)</f>
        <v/>
      </c>
      <c r="D11" s="19">
        <f>ROUNDUP((Модель!B6+Модель!B24)/(A11*D5),0)</f>
        <v/>
      </c>
      <c r="E11" s="19">
        <f>ROUNDUP((Модель!B6+Модель!B24)/(A11*E5),0)</f>
        <v/>
      </c>
      <c r="F11" s="19">
        <f>ROUNDUP((Модель!B6+Модель!B24)/(A11*F5),0)</f>
        <v/>
      </c>
      <c r="G11" s="19">
        <f>ROUNDUP((Модель!B6+Модель!B24)/(A11*G5),0)</f>
        <v/>
      </c>
    </row>
    <row r="14">
      <c r="A14" s="3" t="inlineStr">
        <is>
          <t>B. Оценка спроса ОАЭ (шт/мес) при разных продажах в США и коэффициенте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Продажи США, шт/мес \ ÷K →</t>
        </is>
      </c>
      <c r="B15" s="20" t="n">
        <v>20</v>
      </c>
      <c r="C15" s="20" t="n">
        <v>30</v>
      </c>
      <c r="D15" s="20" t="n">
        <v>40</v>
      </c>
      <c r="E15" s="20" t="n">
        <v>60</v>
      </c>
      <c r="F15" s="20" t="n">
        <v>80</v>
      </c>
      <c r="G15" s="20" t="n">
        <v>100</v>
      </c>
    </row>
    <row r="16">
      <c r="A16" s="21" t="n">
        <v>1000</v>
      </c>
      <c r="B16" s="19">
        <f>ROUND(A16/B15,0)</f>
        <v/>
      </c>
      <c r="C16" s="19">
        <f>ROUND(A16/C15,0)</f>
        <v/>
      </c>
      <c r="D16" s="19">
        <f>ROUND(A16/D15,0)</f>
        <v/>
      </c>
      <c r="E16" s="19">
        <f>ROUND(A16/E15,0)</f>
        <v/>
      </c>
      <c r="F16" s="19">
        <f>ROUND(A16/F15,0)</f>
        <v/>
      </c>
      <c r="G16" s="19">
        <f>ROUND(A16/G15,0)</f>
        <v/>
      </c>
    </row>
    <row r="17">
      <c r="A17" s="21" t="n">
        <v>2000</v>
      </c>
      <c r="B17" s="19">
        <f>ROUND(A17/B15,0)</f>
        <v/>
      </c>
      <c r="C17" s="19">
        <f>ROUND(A17/C15,0)</f>
        <v/>
      </c>
      <c r="D17" s="19">
        <f>ROUND(A17/D15,0)</f>
        <v/>
      </c>
      <c r="E17" s="19">
        <f>ROUND(A17/E15,0)</f>
        <v/>
      </c>
      <c r="F17" s="19">
        <f>ROUND(A17/F15,0)</f>
        <v/>
      </c>
      <c r="G17" s="19">
        <f>ROUND(A17/G15,0)</f>
        <v/>
      </c>
    </row>
    <row r="18">
      <c r="A18" s="21" t="n">
        <v>3000</v>
      </c>
      <c r="B18" s="19">
        <f>ROUND(A18/B15,0)</f>
        <v/>
      </c>
      <c r="C18" s="19">
        <f>ROUND(A18/C15,0)</f>
        <v/>
      </c>
      <c r="D18" s="19">
        <f>ROUND(A18/D15,0)</f>
        <v/>
      </c>
      <c r="E18" s="19">
        <f>ROUND(A18/E15,0)</f>
        <v/>
      </c>
      <c r="F18" s="19">
        <f>ROUND(A18/F15,0)</f>
        <v/>
      </c>
      <c r="G18" s="19">
        <f>ROUND(A18/G15,0)</f>
        <v/>
      </c>
    </row>
    <row r="19">
      <c r="A19" s="21" t="n">
        <v>5000</v>
      </c>
      <c r="B19" s="19">
        <f>ROUND(A19/B15,0)</f>
        <v/>
      </c>
      <c r="C19" s="19">
        <f>ROUND(A19/C15,0)</f>
        <v/>
      </c>
      <c r="D19" s="19">
        <f>ROUND(A19/D15,0)</f>
        <v/>
      </c>
      <c r="E19" s="19">
        <f>ROUND(A19/E15,0)</f>
        <v/>
      </c>
      <c r="F19" s="19">
        <f>ROUND(A19/F15,0)</f>
        <v/>
      </c>
      <c r="G19" s="19">
        <f>ROUND(A19/G15,0)</f>
        <v/>
      </c>
    </row>
    <row r="20">
      <c r="A20" s="21" t="n">
        <v>8000</v>
      </c>
      <c r="B20" s="19">
        <f>ROUND(A20/B15,0)</f>
        <v/>
      </c>
      <c r="C20" s="19">
        <f>ROUND(A20/C15,0)</f>
        <v/>
      </c>
      <c r="D20" s="19">
        <f>ROUND(A20/D15,0)</f>
        <v/>
      </c>
      <c r="E20" s="19">
        <f>ROUND(A20/E15,0)</f>
        <v/>
      </c>
      <c r="F20" s="19">
        <f>ROUND(A20/F15,0)</f>
        <v/>
      </c>
      <c r="G20" s="19">
        <f>ROUND(A20/G15,0)</f>
        <v/>
      </c>
    </row>
    <row r="21">
      <c r="A21" s="21" t="n">
        <v>10000</v>
      </c>
      <c r="B21" s="19">
        <f>ROUND(A21/B15,0)</f>
        <v/>
      </c>
      <c r="C21" s="19">
        <f>ROUND(A21/C15,0)</f>
        <v/>
      </c>
      <c r="D21" s="19">
        <f>ROUND(A21/D15,0)</f>
        <v/>
      </c>
      <c r="E21" s="19">
        <f>ROUND(A21/E15,0)</f>
        <v/>
      </c>
      <c r="F21" s="19">
        <f>ROUND(A21/F15,0)</f>
        <v/>
      </c>
      <c r="G21" s="19">
        <f>ROUND(A21/G15,0)</f>
        <v/>
      </c>
    </row>
    <row r="23">
      <c r="A23" s="2" t="inlineStr">
        <is>
          <t>Сравни числа из таблицы B (спрос всей ниши в ОАЭ) с «Юнитов/мес для прибыли» из таблицы A. Если нужное число юнитов больше спроса ниши — цель нереальна.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1" customWidth="1" min="4" max="4"/>
    <col width="12" customWidth="1" min="5" max="5"/>
    <col width="16" customWidth="1" min="6" max="6"/>
    <col width="18" customWidth="1" min="7" max="7"/>
    <col width="9" customWidth="1" min="8" max="8"/>
    <col width="8" customWidth="1" min="9" max="9"/>
    <col width="24" customWidth="1" min="10" max="10"/>
    <col width="16" customWidth="1" min="11" max="11"/>
    <col width="50" customWidth="1" min="12" max="12"/>
  </cols>
  <sheetData>
    <row r="1" ht="44" customHeight="1">
      <c r="A1" s="22" t="inlineStr">
        <is>
          <t>Ниша (БЕЗ БАД)</t>
        </is>
      </c>
      <c r="B1" s="22" t="inlineStr">
        <is>
          <t>Пример (бренд)</t>
        </is>
      </c>
      <c r="C1" s="22" t="inlineStr">
        <is>
          <t>ASIN</t>
        </is>
      </c>
      <c r="D1" s="22" t="inlineStr">
        <is>
          <t>Цена US, $</t>
        </is>
      </c>
      <c r="E1" s="22" t="inlineStr">
        <is>
          <t>Цена US, AED</t>
        </is>
      </c>
      <c r="F1" s="22" t="inlineStr">
        <is>
          <t>Продажи US, шт/мес</t>
        </is>
      </c>
      <c r="G1" s="22" t="inlineStr">
        <is>
          <t>Оценка ОАЭ ÷40, шт/мес</t>
        </is>
      </c>
      <c r="H1" s="22" t="inlineStr">
        <is>
          <t>Отзывы</t>
        </is>
      </c>
      <c r="I1" s="22" t="inlineStr">
        <is>
          <t>Офферов</t>
        </is>
      </c>
      <c r="J1" s="22" t="inlineStr">
        <is>
          <t>Регистрация в ОАЭ</t>
        </is>
      </c>
      <c r="K1" s="22" t="inlineStr">
        <is>
          <t>Барьер входа</t>
        </is>
      </c>
      <c r="L1" s="22" t="inlineStr">
        <is>
          <t>Комментарий</t>
        </is>
      </c>
    </row>
    <row r="2">
      <c r="A2" s="23" t="inlineStr">
        <is>
          <t>Бандаж запястья / карпал-туннель</t>
        </is>
      </c>
      <c r="B2" s="23" t="inlineStr">
        <is>
          <t>FREETOO</t>
        </is>
      </c>
      <c r="C2" s="23" t="inlineStr">
        <is>
          <t>B0DNFTL63F</t>
        </is>
      </c>
      <c r="D2" s="24" t="n">
        <v>19.95</v>
      </c>
      <c r="E2" s="25">
        <f>D2*3.6725</f>
        <v/>
      </c>
      <c r="F2" s="19" t="n">
        <v>3000</v>
      </c>
      <c r="G2" s="19">
        <f>ROUND(F2/40,0)</f>
        <v/>
      </c>
      <c r="H2" s="19" t="n">
        <v>5704</v>
      </c>
      <c r="I2" s="23" t="n">
        <v>1</v>
      </c>
      <c r="J2" s="23" t="inlineStr">
        <is>
          <t>нет (обычный товар)</t>
        </is>
      </c>
      <c r="K2" s="26" t="inlineStr">
        <is>
          <t>Низкий</t>
        </is>
      </c>
      <c r="L2" s="27" t="inlineStr">
        <is>
          <t>★ Не БАД, не мед.прибор. Лёгкий, private-label легко. У бренда 5+ SKU-вариантов (левая/правая рука).</t>
        </is>
      </c>
    </row>
    <row r="3">
      <c r="A3" s="23" t="inlineStr">
        <is>
          <t>Аптечка / First Aid Kit</t>
        </is>
      </c>
      <c r="B3" s="23" t="inlineStr">
        <is>
          <t>First Aid Only</t>
        </is>
      </c>
      <c r="C3" s="23" t="inlineStr">
        <is>
          <t>B08P27LHJ4</t>
        </is>
      </c>
      <c r="D3" s="24" t="n">
        <v>20.95</v>
      </c>
      <c r="E3" s="25">
        <f>D3*3.6725</f>
        <v/>
      </c>
      <c r="F3" s="19" t="n">
        <v>10000</v>
      </c>
      <c r="G3" s="19">
        <f>ROUND(F3/40,0)</f>
        <v/>
      </c>
      <c r="H3" s="19" t="n">
        <v>5658</v>
      </c>
      <c r="I3" s="23" t="n">
        <v>1</v>
      </c>
      <c r="J3" s="23" t="inlineStr">
        <is>
          <t>нет (набор расходников)</t>
        </is>
      </c>
      <c r="K3" s="26" t="inlineStr">
        <is>
          <t>Низкий</t>
        </is>
      </c>
      <c r="L3" s="27" t="inlineStr">
        <is>
          <t>★ Высокий спрос, не БАД. Габарит больше — заложи FBA/логистику.</t>
        </is>
      </c>
    </row>
    <row r="4">
      <c r="A4" s="23" t="inlineStr">
        <is>
          <t>Органические прокладки</t>
        </is>
      </c>
      <c r="B4" s="23" t="inlineStr">
        <is>
          <t>This is L.</t>
        </is>
      </c>
      <c r="C4" s="23" t="inlineStr">
        <is>
          <t>B0DR3BYKWC</t>
        </is>
      </c>
      <c r="D4" s="24" t="n">
        <v>22.99</v>
      </c>
      <c r="E4" s="25">
        <f>D4*3.6725</f>
        <v/>
      </c>
      <c r="F4" s="19" t="n">
        <v>5000</v>
      </c>
      <c r="G4" s="19">
        <f>ROUND(F4/40,0)</f>
        <v/>
      </c>
      <c r="H4" s="19" t="n">
        <v>1091</v>
      </c>
      <c r="I4" s="23" t="n">
        <v>3</v>
      </c>
      <c r="J4" s="23" t="inlineStr">
        <is>
          <t>нет (гигиена)</t>
        </is>
      </c>
      <c r="K4" s="26" t="inlineStr">
        <is>
          <t>Низкий</t>
        </is>
      </c>
      <c r="L4" s="27" t="inlineStr">
        <is>
          <t>★ Не БАД. Женская гигиена, органик-ниша растёт, повторные покупки.</t>
        </is>
      </c>
    </row>
    <row r="5">
      <c r="A5" s="23" t="inlineStr">
        <is>
          <t>Органические прокладки/тампоны</t>
        </is>
      </c>
      <c r="B5" s="23" t="inlineStr">
        <is>
          <t>Honey Pot</t>
        </is>
      </c>
      <c r="C5" s="23" t="inlineStr">
        <is>
          <t>B0DCDPBZX2</t>
        </is>
      </c>
      <c r="D5" s="24" t="n">
        <v>22.99</v>
      </c>
      <c r="E5" s="25">
        <f>D5*3.6725</f>
        <v/>
      </c>
      <c r="F5" s="19" t="n">
        <v>2000</v>
      </c>
      <c r="G5" s="19">
        <f>ROUND(F5/40,0)</f>
        <v/>
      </c>
      <c r="H5" s="19" t="n">
        <v>1366</v>
      </c>
      <c r="I5" s="23" t="n">
        <v>2</v>
      </c>
      <c r="J5" s="23" t="inlineStr">
        <is>
          <t>нет (гигиена)</t>
        </is>
      </c>
      <c r="K5" s="26" t="inlineStr">
        <is>
          <t>Низкий</t>
        </is>
      </c>
      <c r="L5" s="27" t="inlineStr">
        <is>
          <t>Органик женская гигиена, свежий бренд, лёгкая логистика.</t>
        </is>
      </c>
    </row>
    <row r="6">
      <c r="A6" s="23" t="inlineStr">
        <is>
          <t>Отбеливание зубов (гель+каппа)</t>
        </is>
      </c>
      <c r="B6" s="23" t="inlineStr">
        <is>
          <t>Opalescence</t>
        </is>
      </c>
      <c r="C6" s="23" t="inlineStr">
        <is>
          <t>B000MMYI8G</t>
        </is>
      </c>
      <c r="D6" s="24" t="n">
        <v>28.98</v>
      </c>
      <c r="E6" s="25">
        <f>D6*3.6725</f>
        <v/>
      </c>
      <c r="F6" s="19" t="n">
        <v>10000</v>
      </c>
      <c r="G6" s="19">
        <f>ROUND(F6/40,0)</f>
        <v/>
      </c>
      <c r="H6" s="19" t="n">
        <v>3439</v>
      </c>
      <c r="I6" s="23" t="n">
        <v>1</v>
      </c>
      <c r="J6" s="23" t="inlineStr">
        <is>
          <t>космет. рег. (легче БАД)</t>
        </is>
      </c>
      <c r="K6" s="28" t="inlineStr">
        <is>
          <t>Средний</t>
        </is>
      </c>
      <c r="L6" s="27" t="inlineStr">
        <is>
          <t>Оральная косметика — регистрация проще БАД, но нужна. Высокий спрос.</t>
        </is>
      </c>
    </row>
    <row r="7">
      <c r="A7" s="23" t="inlineStr">
        <is>
          <t>Зубная паста гидроксиапатит</t>
        </is>
      </c>
      <c r="B7" s="23" t="inlineStr">
        <is>
          <t>Himalaya</t>
        </is>
      </c>
      <c r="C7" s="23" t="inlineStr">
        <is>
          <t>B0C4MMPCQH</t>
        </is>
      </c>
      <c r="D7" s="24" t="n">
        <v>19.59</v>
      </c>
      <c r="E7" s="25">
        <f>D7*3.6725</f>
        <v/>
      </c>
      <c r="F7" s="19" t="n">
        <v>1000</v>
      </c>
      <c r="G7" s="19">
        <f>ROUND(F7/40,0)</f>
        <v/>
      </c>
      <c r="H7" s="19" t="n">
        <v>3699</v>
      </c>
      <c r="I7" s="23" t="n">
        <v>1</v>
      </c>
      <c r="J7" s="23" t="inlineStr">
        <is>
          <t>космет. рег.</t>
        </is>
      </c>
      <c r="K7" s="28" t="inlineStr">
        <is>
          <t>Средний</t>
        </is>
      </c>
      <c r="L7" s="27" t="inlineStr">
        <is>
          <t>Fluoride-free тренд, оральная косметика.</t>
        </is>
      </c>
    </row>
    <row r="8">
      <c r="A8" s="23" t="inlineStr">
        <is>
          <t>Повязка на рану (Xeroform)</t>
        </is>
      </c>
      <c r="B8" s="23" t="inlineStr">
        <is>
          <t>Dr. Med</t>
        </is>
      </c>
      <c r="C8" s="23" t="inlineStr">
        <is>
          <t>B0BGXMXNRD</t>
        </is>
      </c>
      <c r="D8" s="24" t="n">
        <v>25.99</v>
      </c>
      <c r="E8" s="25">
        <f>D8*3.6725</f>
        <v/>
      </c>
      <c r="F8" s="19" t="n">
        <v>1000</v>
      </c>
      <c r="G8" s="19">
        <f>ROUND(F8/40,0)</f>
        <v/>
      </c>
      <c r="H8" s="19" t="n">
        <v>1292</v>
      </c>
      <c r="I8" s="23" t="n">
        <v>1</v>
      </c>
      <c r="J8" s="23" t="inlineStr">
        <is>
          <t>мед.изделие (MOHAP)</t>
        </is>
      </c>
      <c r="K8" s="29" t="inlineStr">
        <is>
          <t>Высокий</t>
        </is>
      </c>
      <c r="L8" s="27" t="inlineStr">
        <is>
          <t>Раневые повязки = мед.изделие → регистрация MOHAP. Не БАД, но барьер есть.</t>
        </is>
      </c>
    </row>
    <row r="9">
      <c r="A9" s="23" t="inlineStr">
        <is>
          <t>Флашбл-салфетки (гигиена)</t>
        </is>
      </c>
      <c r="B9" s="23" t="inlineStr">
        <is>
          <t>DUDE Wipes</t>
        </is>
      </c>
      <c r="C9" s="23" t="inlineStr">
        <is>
          <t>B0GFFLR222</t>
        </is>
      </c>
      <c r="D9" s="24" t="n">
        <v>16.98</v>
      </c>
      <c r="E9" s="25">
        <f>D9*3.6725</f>
        <v/>
      </c>
      <c r="F9" s="19" t="n">
        <v>9000</v>
      </c>
      <c r="G9" s="19">
        <f>ROUND(F9/40,0)</f>
        <v/>
      </c>
      <c r="H9" s="19" t="n">
        <v>241600</v>
      </c>
      <c r="I9" s="23" t="n">
        <v>1</v>
      </c>
      <c r="J9" s="23" t="inlineStr">
        <is>
          <t>нет (гигиена)</t>
        </is>
      </c>
      <c r="K9" s="29" t="inlineStr">
        <is>
          <t>Высокий</t>
        </is>
      </c>
      <c r="L9" s="27" t="inlineStr">
        <is>
          <t>Спрос огромный, но бренд-война (DUDE/Cottonelle) — тяжело зайти новичку.</t>
        </is>
      </c>
    </row>
    <row r="10">
      <c r="A10" s="30" t="inlineStr">
        <is>
          <t>СМЕЖНЫЕ НЕ-БАД НИШИ К ПРОВЕРКЕ (запусти title-поиск в Keepa)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23" t="inlineStr">
        <is>
          <t>Корректор осанки (posture)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inlineStr">
        <is>
          <t>нет (обычный товар)</t>
        </is>
      </c>
      <c r="K11" s="26" t="inlineStr">
        <is>
          <t>Низкий</t>
        </is>
      </c>
      <c r="L11" s="27" t="inlineStr">
        <is>
          <t>Классика private-label, лёгкий, вирусится в соцсетях.</t>
        </is>
      </c>
    </row>
    <row r="12">
      <c r="A12" s="23" t="inlineStr">
        <is>
          <t>Наколенник / налокотник / бандаж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inlineStr">
        <is>
          <t>нет (обычный товар)</t>
        </is>
      </c>
      <c r="K12" s="26" t="inlineStr">
        <is>
          <t>Низкий</t>
        </is>
      </c>
      <c r="L12" s="27" t="inlineStr">
        <is>
          <t>Спорт/восстановление, много под-SKU по размерам.</t>
        </is>
      </c>
    </row>
    <row r="13">
      <c r="A13" s="23" t="inlineStr">
        <is>
          <t>Компрессионные носки / рукава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inlineStr">
        <is>
          <t>нет (обычный товар)</t>
        </is>
      </c>
      <c r="K13" s="26" t="inlineStr">
        <is>
          <t>Низкий</t>
        </is>
      </c>
      <c r="L13" s="27" t="inlineStr">
        <is>
          <t>Тревел/спорт/варикоз, лёгкий, дёшев в логистике.</t>
        </is>
      </c>
    </row>
    <row r="14">
      <c r="A14" s="23" t="inlineStr">
        <is>
          <t>Ортопедические стельки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inlineStr">
        <is>
          <t>нет (обычный товар)</t>
        </is>
      </c>
      <c r="K14" s="26" t="inlineStr">
        <is>
          <t>Низкий</t>
        </is>
      </c>
      <c r="L14" s="27" t="inlineStr">
        <is>
          <t>Расходка, повторные покупки, лёгкие.</t>
        </is>
      </c>
    </row>
    <row r="15">
      <c r="A15" s="23" t="inlineStr">
        <is>
          <t>Массажный коврик (акупрессура)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inlineStr">
        <is>
          <t>нет (обычный товар)</t>
        </is>
      </c>
      <c r="K15" s="26" t="inlineStr">
        <is>
          <t>Низкий</t>
        </is>
      </c>
      <c r="L15" s="27" t="inlineStr">
        <is>
          <t>Не электро; смотри объёмный вес для FBA.</t>
        </is>
      </c>
    </row>
    <row r="16">
      <c r="A16" s="23" t="inlineStr">
        <is>
          <t>Органайзер для таблеток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inlineStr">
        <is>
          <t>нет (обычный товар)</t>
        </is>
      </c>
      <c r="K16" s="26" t="inlineStr">
        <is>
          <t>Низкий</t>
        </is>
      </c>
      <c r="L16" s="27" t="inlineStr">
        <is>
          <t>Пластик, дёшево, стабильный спрос, лёгкий.</t>
        </is>
      </c>
    </row>
    <row r="17">
      <c r="A17" s="23" t="inlineStr">
        <is>
          <t>Массаж-пистолет / ролик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inlineStr">
        <is>
          <t>эл.прибор (G-mark/сертиф.)</t>
        </is>
      </c>
      <c r="K17" s="28" t="inlineStr">
        <is>
          <t>Средний</t>
        </is>
      </c>
      <c r="L17" s="27" t="inlineStr">
        <is>
          <t>Электроника → сертификация ОАЭ (G-mark). Высокий чек.</t>
        </is>
      </c>
    </row>
    <row r="18">
      <c r="A18" s="23" t="inlineStr">
        <is>
          <t>Грелка электрическая (heating pad)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inlineStr">
        <is>
          <t>эл.прибор (G-mark/сертиф.)</t>
        </is>
      </c>
      <c r="K18" s="28" t="inlineStr">
        <is>
          <t>Средний</t>
        </is>
      </c>
      <c r="L18" s="27" t="inlineStr">
        <is>
          <t>Электроника → сертификация. Сезонность.</t>
        </is>
      </c>
    </row>
    <row r="20">
      <c r="A20" s="2" t="inlineStr">
        <is>
          <t>★ = приоритет для НОВОГО продавца: спрос есть, вход дешевле, БЕЗ регистрации. ВАЖНО: «не БАД» ≠ «без регистрации» — мед.изделия (повязки, тонометры, TENS) → MOHAP; электроника (массажёры, грелки) → сертификация; оральная косметика → космет.регистрация. Самый лёгкий путь — бандажи/компрессия/гигиена/стельки/органайзеры.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ИНСТРУКЦИЯ И ДОПУЩЕНИЯ</t>
        </is>
      </c>
    </row>
    <row r="2">
      <c r="A2" t="inlineStr"/>
    </row>
    <row r="3">
      <c r="A3" s="5" t="inlineStr">
        <is>
          <t>КАК ПОЛЬЗОВАТЬСЯ</t>
        </is>
      </c>
    </row>
    <row r="4">
      <c r="A4" t="inlineStr">
        <is>
          <t>1. Открой лист «Модель». Заполни ЖЁЛТЫЕ ячейки: цена, себестоимость landed, комиссии, реклама.</t>
        </is>
      </c>
    </row>
    <row r="5">
      <c r="A5" t="inlineStr">
        <is>
          <t>2. Внизу впиши «Продажи в США, шт/мес» (из Keepa по конкретному товару) и коэффициент США→ОАЭ.</t>
        </is>
      </c>
    </row>
    <row r="6">
      <c r="A6" t="inlineStr">
        <is>
          <t>3. Смотри ответы: «Юнитов/мес для целевой прибыли», «ВЕРДИКТ по реалистичности», «Капитал на партию».</t>
        </is>
      </c>
    </row>
    <row r="7">
      <c r="A7" t="inlineStr">
        <is>
          <t>4. Лист «Сценарии» — таблицы чувствительности (цена×маржа и продажи США×коэффициент).</t>
        </is>
      </c>
    </row>
    <row r="8">
      <c r="A8" t="inlineStr">
        <is>
          <t>5. Лист «Кандидаты US→ОАЭ» — реальные товары из Keepa с оценкой спроса ОАЭ и барьером входа.</t>
        </is>
      </c>
    </row>
    <row r="9">
      <c r="A9" t="inlineStr"/>
    </row>
    <row r="10">
      <c r="A10" s="5" t="inlineStr">
        <is>
          <t>МЕТОДОЛОГИЯ (по ТЗ)</t>
        </is>
      </c>
    </row>
    <row r="11">
      <c r="A11" t="inlineStr">
        <is>
          <t>• Шаг 1 — проверяем товар в США (Keepa даёт реальные monthly_sold, рейтинг, конкуренцию).</t>
        </is>
      </c>
    </row>
    <row r="12">
      <c r="A12" t="inlineStr">
        <is>
          <t>• Шаг 2 — ОАЭ = основной рынок, но объём меньше: масштабируем ÷K (в ТЗ пример 2000→50, т.е. ÷40).</t>
        </is>
      </c>
    </row>
    <row r="13">
      <c r="A13" t="inlineStr">
        <is>
          <t>• Шаг 3 — считаем юнит-экономику и сколько штук нужно продать для цели 10 000 AED / 3 500 AED прибыли.</t>
        </is>
      </c>
    </row>
    <row r="14">
      <c r="A14" t="inlineStr">
        <is>
          <t>• Шаг 4 — маржа от 30%: модель подсвечивает, добита ли планка 30%.</t>
        </is>
      </c>
    </row>
    <row r="15">
      <c r="A15" t="inlineStr"/>
    </row>
    <row r="16">
      <c r="A16" s="5" t="inlineStr">
        <is>
          <t>ВАЖНО ПРО КОЭФФИЦИЕНТ ÷40</t>
        </is>
      </c>
    </row>
    <row r="17">
      <c r="A17" t="inlineStr">
        <is>
          <t>• Совокупно amazon.com (~$847 млрд/год) больше amazon.ae (~$770 млн/год) примерно в ~1000 раз.</t>
        </is>
      </c>
    </row>
    <row r="18">
      <c r="A18" t="inlineStr">
        <is>
          <t>• Но по КОНКРЕТНОЙ трендовой нише разрыв меньше: ÷40 — оптимистично, реалистичный диапазон ÷40…÷100.</t>
        </is>
      </c>
    </row>
    <row r="19">
      <c r="A19" t="inlineStr">
        <is>
          <t>• Поэтому коэффициент — ВХОД модели: прогони пессимистичный (÷80) и оптимистичный (÷40) сценарии.</t>
        </is>
      </c>
    </row>
    <row r="20">
      <c r="A20" t="inlineStr">
        <is>
          <t>• В ОАЭ спрос на здоровье растёт: поиск «collagen» +5200%, «vitamin C» +4200% (данные рынка).</t>
        </is>
      </c>
    </row>
    <row r="21">
      <c r="A21" t="inlineStr"/>
    </row>
    <row r="22">
      <c r="A22" s="5" t="inlineStr">
        <is>
          <t>ФОКУС: БЕЗ БАД. Регуляторные уровни для не-проглатываемых товаров</t>
        </is>
      </c>
    </row>
    <row r="23">
      <c r="A23" t="inlineStr">
        <is>
          <t>• БАД/добавки ИСКЛЮЧЕНЫ из подбора (по требованию). Ниже — только физические не-проглатываемые товары.</t>
        </is>
      </c>
    </row>
    <row r="24">
      <c r="A24" t="inlineStr">
        <is>
          <t>• ВАЖНО: «не БАД» НЕ значит «без регистрации». Уровни барьера:</t>
        </is>
      </c>
    </row>
    <row r="25">
      <c r="A25" t="inlineStr">
        <is>
          <t xml:space="preserve">   🟢 Обычный товар — бандажи, компрессия, стельки, органайзеры, корректор осанки, акупресс.коврик,</t>
        </is>
      </c>
    </row>
    <row r="26">
      <c r="A26" t="inlineStr">
        <is>
          <t xml:space="preserve">      женская гигиена, аптечка-набор. Нужен трейд-лайсенс + соответствие маркировке (ар/англ). Легче всего.</t>
        </is>
      </c>
    </row>
    <row r="27">
      <c r="A27" t="inlineStr">
        <is>
          <t xml:space="preserve">   🟡 Оральная косметика — отбеливание зубов, паста: регистрация косметики (легче БАД, но нужна).</t>
        </is>
      </c>
    </row>
    <row r="28">
      <c r="A28" t="inlineStr">
        <is>
          <t xml:space="preserve">   🟡 Электроника — массаж-пистолет, электрогрелка, тонометр: сертификация/G-mark на электронику.</t>
        </is>
      </c>
    </row>
    <row r="29">
      <c r="A29" t="inlineStr">
        <is>
          <t xml:space="preserve">   🔴 Мед.изделия — раневые повязки, TENS, глюкометры, тонометры (как мед.прибор): регистрация MOHAP.</t>
        </is>
      </c>
    </row>
    <row r="30">
      <c r="A30" t="inlineStr">
        <is>
          <t>• Вывод: новичку стартовать с 🟢-товаров (бандаж FREETOO, компрессия, органик-гигиена, стельки,</t>
        </is>
      </c>
    </row>
    <row r="31">
      <c r="A31" t="inlineStr">
        <is>
          <t xml:space="preserve">  органайзер). Косметику/электронику/мед.изделия — вторым шагом, когда готов пройти их регистрацию.</t>
        </is>
      </c>
    </row>
    <row r="32">
      <c r="A32" t="inlineStr"/>
    </row>
    <row r="33">
      <c r="A33" s="5" t="inlineStr">
        <is>
          <t>ДОПУЩЕНИЯ ПО УМОЛЧАНИЮ (меняй под себя)</t>
        </is>
      </c>
    </row>
    <row r="34">
      <c r="A34" t="inlineStr">
        <is>
          <t>• Курс USD→AED = 3.6725 (жёсткая привязка дирхама).</t>
        </is>
      </c>
    </row>
    <row r="35">
      <c r="A35" t="inlineStr">
        <is>
          <t>• Реферальная комиссия Amazon.ae для Health/Beauty ≈ 8–15% (взял 15% консервативно).</t>
        </is>
      </c>
    </row>
    <row r="36">
      <c r="A36" t="inlineStr">
        <is>
          <t>• FBA fulfilment и фикс-расходы — ориентировочные; уточни в Seller Central ОАЭ под свой вес/габарит.</t>
        </is>
      </c>
    </row>
    <row r="37">
      <c r="A37" t="inlineStr">
        <is>
          <t>• НДС ОАЭ 5% — собирается сверху цены и перечисляется государству, в чистую прибыль НЕ входит.</t>
        </is>
      </c>
    </row>
    <row r="38">
      <c r="A38" t="inlineStr">
        <is>
          <t>• monthly_sold из Keepa округляется бакетами (500/1K/2K/…); это оценка «куплено за месяц», не точное число.</t>
        </is>
      </c>
    </row>
    <row r="39">
      <c r="A39" t="inlineStr"/>
    </row>
    <row r="40">
      <c r="A40" s="5" t="inlineStr">
        <is>
          <t>ИСТОЧНИКИ ДАННЫХ</t>
        </is>
      </c>
    </row>
    <row r="41">
      <c r="A41" t="inlineStr">
        <is>
          <t>• Keepa Product Finder, категория Health &amp; Household (US, catId 3760901) — продажи/цены/конкуренция.</t>
        </is>
      </c>
    </row>
    <row r="42">
      <c r="A42" t="inlineStr">
        <is>
          <t>• Amazon global revenue (ecommerceDB/Statista) и amazon.ae sales — для оценки масштаба рынков.</t>
        </is>
      </c>
    </row>
    <row r="43">
      <c r="A43" t="inlineStr">
        <is>
          <t>• Dubai Municipality / MOHAP — требования к регистрации БАД (freyr, artixio, dm.gov.ae).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2026-07-14T09:36:25Z</dcterms:created>
  <dcterms:modified xsi:type="dcterms:W3CDTF">2026-07-14T09:36:25Z</dcterms:modified>
</cp:coreProperties>
</file>