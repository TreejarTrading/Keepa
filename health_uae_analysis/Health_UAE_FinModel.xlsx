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дель" sheetId="1" state="visible" r:id="rId1"/>
    <sheet name="Юнит-экономика" sheetId="2" state="visible" r:id="rId2"/>
    <sheet name="Сценарии" sheetId="3" state="visible" r:id="rId3"/>
    <sheet name="Кандидаты US→ОАЭ" sheetId="4" state="visible" r:id="rId4"/>
    <sheet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8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9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  <col width="9" customWidth="1" min="12" max="12"/>
    <col width="13" customWidth="1" min="13" max="13"/>
    <col width="13" customWidth="1" min="14" max="14"/>
    <col width="10" customWidth="1" min="15" max="15"/>
    <col width="10" customWidth="1" min="16" max="16"/>
  </cols>
  <sheetData>
    <row r="1">
      <c r="A1" s="1" t="inlineStr">
        <is>
          <t>ЮНИТ-ЭКОНОМИКА ПО ТОВАРАМ — подставляй свои COGS и fees</t>
        </is>
      </c>
    </row>
    <row r="2">
      <c r="A2" s="2" t="inlineStr">
        <is>
          <t>ЖЁЛТЫЕ столбцы (цена, COGS, комиссия %, FBA, PPC, возвраты) — вводишь под свой товар. ЗЕЛЁНЫЕ — считаются формулой. Цель прибыли, фикс и коэффициент берутся с листа «Модель».</t>
        </is>
      </c>
    </row>
    <row r="4" ht="42" customHeight="1">
      <c r="A4" s="17" t="inlineStr">
        <is>
          <t>Товар (не БАД)</t>
        </is>
      </c>
      <c r="B4" s="17" t="inlineStr">
        <is>
          <t>Продажи US, шт/мес</t>
        </is>
      </c>
      <c r="C4" s="17" t="inlineStr">
        <is>
          <t>Цена ОАЭ, AED</t>
        </is>
      </c>
      <c r="D4" s="17" t="inlineStr">
        <is>
          <t>COGS landed, AED</t>
        </is>
      </c>
      <c r="E4" s="17" t="inlineStr">
        <is>
          <t>Комиссия Amazon, %</t>
        </is>
      </c>
      <c r="F4" s="17" t="inlineStr">
        <is>
          <t>FBA, AED</t>
        </is>
      </c>
      <c r="G4" s="17" t="inlineStr">
        <is>
          <t>PPC, AED</t>
        </is>
      </c>
      <c r="H4" s="17" t="inlineStr">
        <is>
          <t>Возвраты, %</t>
        </is>
      </c>
      <c r="I4" s="17" t="inlineStr">
        <is>
          <t>Комиссия, AED</t>
        </is>
      </c>
      <c r="J4" s="17" t="inlineStr">
        <is>
          <t>Перем. затраты, AED</t>
        </is>
      </c>
      <c r="K4" s="17" t="inlineStr">
        <is>
          <t>Валовая приб./шт, AED</t>
        </is>
      </c>
      <c r="L4" s="17" t="inlineStr">
        <is>
          <t>Маржа, %</t>
        </is>
      </c>
      <c r="M4" s="17" t="inlineStr">
        <is>
          <t>Юнитов/мес для цели</t>
        </is>
      </c>
      <c r="N4" s="17" t="inlineStr">
        <is>
          <t>Спрос ОАЭ, шт/мес</t>
        </is>
      </c>
      <c r="O4" s="17" t="inlineStr">
        <is>
          <t>Доля ниши</t>
        </is>
      </c>
      <c r="P4" s="17" t="inlineStr">
        <is>
          <t>Вердикт</t>
        </is>
      </c>
    </row>
    <row r="5">
      <c r="A5" s="18" t="inlineStr">
        <is>
          <t>Бандаж запястья / карпал-туннель (FREETOO)</t>
        </is>
      </c>
      <c r="B5" s="13" t="n">
        <v>3000</v>
      </c>
      <c r="C5" s="7" t="n">
        <v>73.27</v>
      </c>
      <c r="D5" s="7" t="n">
        <v>21.98</v>
      </c>
      <c r="E5" s="8" t="n">
        <v>0.15</v>
      </c>
      <c r="F5" s="7" t="n">
        <v>12</v>
      </c>
      <c r="G5" s="7" t="n">
        <v>12</v>
      </c>
      <c r="H5" s="8" t="n">
        <v>0.03</v>
      </c>
      <c r="I5" s="9">
        <f>C5*E5</f>
        <v/>
      </c>
      <c r="J5" s="9">
        <f>D5+I5+F5+G5+C5*H5</f>
        <v/>
      </c>
      <c r="K5" s="9">
        <f>C5-J5</f>
        <v/>
      </c>
      <c r="L5" s="10">
        <f>K5/C5</f>
        <v/>
      </c>
      <c r="M5" s="12">
        <f>IF(K5&lt;=0,"—",ROUNDUP((Модель!$B$6+Модель!$B$24)/K5,0))</f>
        <v/>
      </c>
      <c r="N5" s="12">
        <f>ROUND(B5/Модель!$B$32,0)</f>
        <v/>
      </c>
      <c r="O5" s="10">
        <f>IF(OR(N5=0,K5&lt;=0),"—",M5/N5)</f>
        <v/>
      </c>
      <c r="P5" s="11">
        <f>IF(K5&lt;=0,"цена≤затрат",IF(M5&lt;=N5*0.3,"✅ реально",IF(M5&lt;=N5,"⚠️ напряжно","❌ стек SKU")))</f>
        <v/>
      </c>
    </row>
    <row r="6">
      <c r="A6" s="18" t="inlineStr">
        <is>
          <t>Аптечка / First Aid Kit (First Aid Only)</t>
        </is>
      </c>
      <c r="B6" s="13" t="n">
        <v>10000</v>
      </c>
      <c r="C6" s="7" t="n">
        <v>76.94</v>
      </c>
      <c r="D6" s="7" t="n">
        <v>23.08</v>
      </c>
      <c r="E6" s="8" t="n">
        <v>0.15</v>
      </c>
      <c r="F6" s="7" t="n">
        <v>12</v>
      </c>
      <c r="G6" s="7" t="n">
        <v>12</v>
      </c>
      <c r="H6" s="8" t="n">
        <v>0.03</v>
      </c>
      <c r="I6" s="9">
        <f>C6*E6</f>
        <v/>
      </c>
      <c r="J6" s="9">
        <f>D6+I6+F6+G6+C6*H6</f>
        <v/>
      </c>
      <c r="K6" s="9">
        <f>C6-J6</f>
        <v/>
      </c>
      <c r="L6" s="10">
        <f>K6/C6</f>
        <v/>
      </c>
      <c r="M6" s="12">
        <f>IF(K6&lt;=0,"—",ROUNDUP((Модель!$B$6+Модель!$B$24)/K6,0))</f>
        <v/>
      </c>
      <c r="N6" s="12">
        <f>ROUND(B6/Модель!$B$32,0)</f>
        <v/>
      </c>
      <c r="O6" s="10">
        <f>IF(OR(N6=0,K6&lt;=0),"—",M6/N6)</f>
        <v/>
      </c>
      <c r="P6" s="11">
        <f>IF(K6&lt;=0,"цена≤затрат",IF(M6&lt;=N6*0.3,"✅ реально",IF(M6&lt;=N6,"⚠️ напряжно","❌ стек SKU")))</f>
        <v/>
      </c>
    </row>
    <row r="7">
      <c r="A7" s="18" t="inlineStr">
        <is>
          <t>Органические прокладки (This is L.)</t>
        </is>
      </c>
      <c r="B7" s="13" t="n">
        <v>5000</v>
      </c>
      <c r="C7" s="7" t="n">
        <v>84.43000000000001</v>
      </c>
      <c r="D7" s="7" t="n">
        <v>25.33</v>
      </c>
      <c r="E7" s="8" t="n">
        <v>0.15</v>
      </c>
      <c r="F7" s="7" t="n">
        <v>12</v>
      </c>
      <c r="G7" s="7" t="n">
        <v>12</v>
      </c>
      <c r="H7" s="8" t="n">
        <v>0.03</v>
      </c>
      <c r="I7" s="9">
        <f>C7*E7</f>
        <v/>
      </c>
      <c r="J7" s="9">
        <f>D7+I7+F7+G7+C7*H7</f>
        <v/>
      </c>
      <c r="K7" s="9">
        <f>C7-J7</f>
        <v/>
      </c>
      <c r="L7" s="10">
        <f>K7/C7</f>
        <v/>
      </c>
      <c r="M7" s="12">
        <f>IF(K7&lt;=0,"—",ROUNDUP((Модель!$B$6+Модель!$B$24)/K7,0))</f>
        <v/>
      </c>
      <c r="N7" s="12">
        <f>ROUND(B7/Модель!$B$32,0)</f>
        <v/>
      </c>
      <c r="O7" s="10">
        <f>IF(OR(N7=0,K7&lt;=0),"—",M7/N7)</f>
        <v/>
      </c>
      <c r="P7" s="11">
        <f>IF(K7&lt;=0,"цена≤затрат",IF(M7&lt;=N7*0.3,"✅ реально",IF(M7&lt;=N7,"⚠️ напряжно","❌ стек SKU")))</f>
        <v/>
      </c>
    </row>
    <row r="8">
      <c r="A8" s="18" t="inlineStr">
        <is>
          <t>Органические прокладки/тампоны (Honey Pot)</t>
        </is>
      </c>
      <c r="B8" s="13" t="n">
        <v>2000</v>
      </c>
      <c r="C8" s="7" t="n">
        <v>84.43000000000001</v>
      </c>
      <c r="D8" s="7" t="n">
        <v>25.33</v>
      </c>
      <c r="E8" s="8" t="n">
        <v>0.15</v>
      </c>
      <c r="F8" s="7" t="n">
        <v>12</v>
      </c>
      <c r="G8" s="7" t="n">
        <v>12</v>
      </c>
      <c r="H8" s="8" t="n">
        <v>0.03</v>
      </c>
      <c r="I8" s="9">
        <f>C8*E8</f>
        <v/>
      </c>
      <c r="J8" s="9">
        <f>D8+I8+F8+G8+C8*H8</f>
        <v/>
      </c>
      <c r="K8" s="9">
        <f>C8-J8</f>
        <v/>
      </c>
      <c r="L8" s="10">
        <f>K8/C8</f>
        <v/>
      </c>
      <c r="M8" s="12">
        <f>IF(K8&lt;=0,"—",ROUNDUP((Модель!$B$6+Модель!$B$24)/K8,0))</f>
        <v/>
      </c>
      <c r="N8" s="12">
        <f>ROUND(B8/Модель!$B$32,0)</f>
        <v/>
      </c>
      <c r="O8" s="10">
        <f>IF(OR(N8=0,K8&lt;=0),"—",M8/N8)</f>
        <v/>
      </c>
      <c r="P8" s="11">
        <f>IF(K8&lt;=0,"цена≤затрат",IF(M8&lt;=N8*0.3,"✅ реально",IF(M8&lt;=N8,"⚠️ напряжно","❌ стек SKU")))</f>
        <v/>
      </c>
    </row>
    <row r="9">
      <c r="A9" s="18" t="inlineStr">
        <is>
          <t>Отбеливание зубов (гель+каппа) (Opalescence)</t>
        </is>
      </c>
      <c r="B9" s="13" t="n">
        <v>10000</v>
      </c>
      <c r="C9" s="7" t="n">
        <v>106.43</v>
      </c>
      <c r="D9" s="7" t="n">
        <v>31.93</v>
      </c>
      <c r="E9" s="8" t="n">
        <v>0.15</v>
      </c>
      <c r="F9" s="7" t="n">
        <v>12</v>
      </c>
      <c r="G9" s="7" t="n">
        <v>12</v>
      </c>
      <c r="H9" s="8" t="n">
        <v>0.03</v>
      </c>
      <c r="I9" s="9">
        <f>C9*E9</f>
        <v/>
      </c>
      <c r="J9" s="9">
        <f>D9+I9+F9+G9+C9*H9</f>
        <v/>
      </c>
      <c r="K9" s="9">
        <f>C9-J9</f>
        <v/>
      </c>
      <c r="L9" s="10">
        <f>K9/C9</f>
        <v/>
      </c>
      <c r="M9" s="12">
        <f>IF(K9&lt;=0,"—",ROUNDUP((Модель!$B$6+Модель!$B$24)/K9,0))</f>
        <v/>
      </c>
      <c r="N9" s="12">
        <f>ROUND(B9/Модель!$B$32,0)</f>
        <v/>
      </c>
      <c r="O9" s="10">
        <f>IF(OR(N9=0,K9&lt;=0),"—",M9/N9)</f>
        <v/>
      </c>
      <c r="P9" s="11">
        <f>IF(K9&lt;=0,"цена≤затрат",IF(M9&lt;=N9*0.3,"✅ реально",IF(M9&lt;=N9,"⚠️ напряжно","❌ стек SKU")))</f>
        <v/>
      </c>
    </row>
    <row r="10">
      <c r="A10" s="18" t="inlineStr">
        <is>
          <t>Зубная паста гидроксиапатит (Himalaya)</t>
        </is>
      </c>
      <c r="B10" s="13" t="n">
        <v>1000</v>
      </c>
      <c r="C10" s="7" t="n">
        <v>71.94</v>
      </c>
      <c r="D10" s="7" t="n">
        <v>21.58</v>
      </c>
      <c r="E10" s="8" t="n">
        <v>0.15</v>
      </c>
      <c r="F10" s="7" t="n">
        <v>12</v>
      </c>
      <c r="G10" s="7" t="n">
        <v>12</v>
      </c>
      <c r="H10" s="8" t="n">
        <v>0.03</v>
      </c>
      <c r="I10" s="9">
        <f>C10*E10</f>
        <v/>
      </c>
      <c r="J10" s="9">
        <f>D10+I10+F10+G10+C10*H10</f>
        <v/>
      </c>
      <c r="K10" s="9">
        <f>C10-J10</f>
        <v/>
      </c>
      <c r="L10" s="10">
        <f>K10/C10</f>
        <v/>
      </c>
      <c r="M10" s="12">
        <f>IF(K10&lt;=0,"—",ROUNDUP((Модель!$B$6+Модель!$B$24)/K10,0))</f>
        <v/>
      </c>
      <c r="N10" s="12">
        <f>ROUND(B10/Модель!$B$32,0)</f>
        <v/>
      </c>
      <c r="O10" s="10">
        <f>IF(OR(N10=0,K10&lt;=0),"—",M10/N10)</f>
        <v/>
      </c>
      <c r="P10" s="11">
        <f>IF(K10&lt;=0,"цена≤затрат",IF(M10&lt;=N10*0.3,"✅ реально",IF(M10&lt;=N10,"⚠️ напряжно","❌ стек SKU")))</f>
        <v/>
      </c>
    </row>
    <row r="11">
      <c r="A11" s="18" t="inlineStr">
        <is>
          <t>Повязка на рану (Xeroform) (Dr. Med)</t>
        </is>
      </c>
      <c r="B11" s="13" t="n">
        <v>1000</v>
      </c>
      <c r="C11" s="7" t="n">
        <v>95.45</v>
      </c>
      <c r="D11" s="7" t="n">
        <v>28.64</v>
      </c>
      <c r="E11" s="8" t="n">
        <v>0.15</v>
      </c>
      <c r="F11" s="7" t="n">
        <v>12</v>
      </c>
      <c r="G11" s="7" t="n">
        <v>12</v>
      </c>
      <c r="H11" s="8" t="n">
        <v>0.03</v>
      </c>
      <c r="I11" s="9">
        <f>C11*E11</f>
        <v/>
      </c>
      <c r="J11" s="9">
        <f>D11+I11+F11+G11+C11*H11</f>
        <v/>
      </c>
      <c r="K11" s="9">
        <f>C11-J11</f>
        <v/>
      </c>
      <c r="L11" s="10">
        <f>K11/C11</f>
        <v/>
      </c>
      <c r="M11" s="12">
        <f>IF(K11&lt;=0,"—",ROUNDUP((Модель!$B$6+Модель!$B$24)/K11,0))</f>
        <v/>
      </c>
      <c r="N11" s="12">
        <f>ROUND(B11/Модель!$B$32,0)</f>
        <v/>
      </c>
      <c r="O11" s="10">
        <f>IF(OR(N11=0,K11&lt;=0),"—",M11/N11)</f>
        <v/>
      </c>
      <c r="P11" s="11">
        <f>IF(K11&lt;=0,"цена≤затрат",IF(M11&lt;=N11*0.3,"✅ реально",IF(M11&lt;=N11,"⚠️ напряжно","❌ стек SKU")))</f>
        <v/>
      </c>
    </row>
    <row r="12">
      <c r="A12" s="18" t="inlineStr">
        <is>
          <t>Флашбл-салфетки (гигиена) (DUDE Wipes)</t>
        </is>
      </c>
      <c r="B12" s="13" t="n">
        <v>9000</v>
      </c>
      <c r="C12" s="7" t="n">
        <v>62.36</v>
      </c>
      <c r="D12" s="7" t="n">
        <v>18.71</v>
      </c>
      <c r="E12" s="8" t="n">
        <v>0.15</v>
      </c>
      <c r="F12" s="7" t="n">
        <v>12</v>
      </c>
      <c r="G12" s="7" t="n">
        <v>12</v>
      </c>
      <c r="H12" s="8" t="n">
        <v>0.03</v>
      </c>
      <c r="I12" s="9">
        <f>C12*E12</f>
        <v/>
      </c>
      <c r="J12" s="9">
        <f>D12+I12+F12+G12+C12*H12</f>
        <v/>
      </c>
      <c r="K12" s="9">
        <f>C12-J12</f>
        <v/>
      </c>
      <c r="L12" s="10">
        <f>K12/C12</f>
        <v/>
      </c>
      <c r="M12" s="12">
        <f>IF(K12&lt;=0,"—",ROUNDUP((Модель!$B$6+Модель!$B$24)/K12,0))</f>
        <v/>
      </c>
      <c r="N12" s="12">
        <f>ROUND(B12/Модель!$B$32,0)</f>
        <v/>
      </c>
      <c r="O12" s="10">
        <f>IF(OR(N12=0,K12&lt;=0),"—",M12/N12)</f>
        <v/>
      </c>
      <c r="P12" s="11">
        <f>IF(K12&lt;=0,"цена≤затрат",IF(M12&lt;=N12*0.3,"✅ реально",IF(M12&lt;=N12,"⚠️ напряжно","❌ стек SKU")))</f>
        <v/>
      </c>
    </row>
    <row r="14">
      <c r="A14" s="2" t="inlineStr">
        <is>
          <t>Столбцы: Комиссия = Цена×Комиссия%. Перем.затраты = COGS+Комиссия+FBA+PPC+Цена×Возвраты%. Валовая приб./шт = Цена − Перем.затраты. Юнитов/мес для цели = (Цель прибыли[Модель]+Фикс[Модель]) / Валовая приб/шт. Спрос ОАЭ = Продажи US / Коэффициент[Модель]. Вердикт: ✅ ≤30% ниши / ⚠️ до 100% / ❌ больше ниши (нужен стек из нескольких SKU).</t>
        </is>
      </c>
    </row>
    <row r="16">
      <c r="A16" s="19" t="inlineStr">
        <is>
          <t>Цена ОАЭ предзаполнена как прямой пересчёт US-цены ×3.6725 — это НЕЙТРАЛЬНЫЙ старт. Импортные health-товары в ОАЭ часто стоят дороже US: подними цену под реальный листинг amazon.ae/noon и увидишь, как маржа и вердикт улучшаются.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20" t="n">
        <v>0.2</v>
      </c>
      <c r="C5" s="20" t="n">
        <v>0.25</v>
      </c>
      <c r="D5" s="20" t="n">
        <v>0.3</v>
      </c>
      <c r="E5" s="20" t="n">
        <v>0.35</v>
      </c>
      <c r="F5" s="20" t="n">
        <v>0.4</v>
      </c>
      <c r="G5" s="20" t="n">
        <v>0.5</v>
      </c>
    </row>
    <row r="6">
      <c r="A6" s="21" t="n">
        <v>50</v>
      </c>
      <c r="B6" s="22">
        <f>ROUNDUP((Модель!B6+Модель!B24)/(A6*B5),0)</f>
        <v/>
      </c>
      <c r="C6" s="22">
        <f>ROUNDUP((Модель!B6+Модель!B24)/(A6*C5),0)</f>
        <v/>
      </c>
      <c r="D6" s="22">
        <f>ROUNDUP((Модель!B6+Модель!B24)/(A6*D5),0)</f>
        <v/>
      </c>
      <c r="E6" s="22">
        <f>ROUNDUP((Модель!B6+Модель!B24)/(A6*E5),0)</f>
        <v/>
      </c>
      <c r="F6" s="22">
        <f>ROUNDUP((Модель!B6+Модель!B24)/(A6*F5),0)</f>
        <v/>
      </c>
      <c r="G6" s="22">
        <f>ROUNDUP((Модель!B6+Модель!B24)/(A6*G5),0)</f>
        <v/>
      </c>
    </row>
    <row r="7">
      <c r="A7" s="21" t="n">
        <v>70</v>
      </c>
      <c r="B7" s="22">
        <f>ROUNDUP((Модель!B6+Модель!B24)/(A7*B5),0)</f>
        <v/>
      </c>
      <c r="C7" s="22">
        <f>ROUNDUP((Модель!B6+Модель!B24)/(A7*C5),0)</f>
        <v/>
      </c>
      <c r="D7" s="22">
        <f>ROUNDUP((Модель!B6+Модель!B24)/(A7*D5),0)</f>
        <v/>
      </c>
      <c r="E7" s="22">
        <f>ROUNDUP((Модель!B6+Модель!B24)/(A7*E5),0)</f>
        <v/>
      </c>
      <c r="F7" s="22">
        <f>ROUNDUP((Модель!B6+Модель!B24)/(A7*F5),0)</f>
        <v/>
      </c>
      <c r="G7" s="22">
        <f>ROUNDUP((Модель!B6+Модель!B24)/(A7*G5),0)</f>
        <v/>
      </c>
    </row>
    <row r="8">
      <c r="A8" s="21" t="n">
        <v>90</v>
      </c>
      <c r="B8" s="22">
        <f>ROUNDUP((Модель!B6+Модель!B24)/(A8*B5),0)</f>
        <v/>
      </c>
      <c r="C8" s="22">
        <f>ROUNDUP((Модель!B6+Модель!B24)/(A8*C5),0)</f>
        <v/>
      </c>
      <c r="D8" s="22">
        <f>ROUNDUP((Модель!B6+Модель!B24)/(A8*D5),0)</f>
        <v/>
      </c>
      <c r="E8" s="22">
        <f>ROUNDUP((Модель!B6+Модель!B24)/(A8*E5),0)</f>
        <v/>
      </c>
      <c r="F8" s="22">
        <f>ROUNDUP((Модель!B6+Модель!B24)/(A8*F5),0)</f>
        <v/>
      </c>
      <c r="G8" s="22">
        <f>ROUNDUP((Модель!B6+Модель!B24)/(A8*G5),0)</f>
        <v/>
      </c>
    </row>
    <row r="9">
      <c r="A9" s="21" t="n">
        <v>120</v>
      </c>
      <c r="B9" s="22">
        <f>ROUNDUP((Модель!B6+Модель!B24)/(A9*B5),0)</f>
        <v/>
      </c>
      <c r="C9" s="22">
        <f>ROUNDUP((Модель!B6+Модель!B24)/(A9*C5),0)</f>
        <v/>
      </c>
      <c r="D9" s="22">
        <f>ROUNDUP((Модель!B6+Модель!B24)/(A9*D5),0)</f>
        <v/>
      </c>
      <c r="E9" s="22">
        <f>ROUNDUP((Модель!B6+Модель!B24)/(A9*E5),0)</f>
        <v/>
      </c>
      <c r="F9" s="22">
        <f>ROUNDUP((Модель!B6+Модель!B24)/(A9*F5),0)</f>
        <v/>
      </c>
      <c r="G9" s="22">
        <f>ROUNDUP((Модель!B6+Модель!B24)/(A9*G5),0)</f>
        <v/>
      </c>
    </row>
    <row r="10">
      <c r="A10" s="21" t="n">
        <v>150</v>
      </c>
      <c r="B10" s="22">
        <f>ROUNDUP((Модель!B6+Модель!B24)/(A10*B5),0)</f>
        <v/>
      </c>
      <c r="C10" s="22">
        <f>ROUNDUP((Модель!B6+Модель!B24)/(A10*C5),0)</f>
        <v/>
      </c>
      <c r="D10" s="22">
        <f>ROUNDUP((Модель!B6+Модель!B24)/(A10*D5),0)</f>
        <v/>
      </c>
      <c r="E10" s="22">
        <f>ROUNDUP((Модель!B6+Модель!B24)/(A10*E5),0)</f>
        <v/>
      </c>
      <c r="F10" s="22">
        <f>ROUNDUP((Модель!B6+Модель!B24)/(A10*F5),0)</f>
        <v/>
      </c>
      <c r="G10" s="22">
        <f>ROUNDUP((Модель!B6+Модель!B24)/(A10*G5),0)</f>
        <v/>
      </c>
    </row>
    <row r="11">
      <c r="A11" s="21" t="n">
        <v>200</v>
      </c>
      <c r="B11" s="22">
        <f>ROUNDUP((Модель!B6+Модель!B24)/(A11*B5),0)</f>
        <v/>
      </c>
      <c r="C11" s="22">
        <f>ROUNDUP((Модель!B6+Модель!B24)/(A11*C5),0)</f>
        <v/>
      </c>
      <c r="D11" s="22">
        <f>ROUNDUP((Модель!B6+Модель!B24)/(A11*D5),0)</f>
        <v/>
      </c>
      <c r="E11" s="22">
        <f>ROUNDUP((Модель!B6+Модель!B24)/(A11*E5),0)</f>
        <v/>
      </c>
      <c r="F11" s="22">
        <f>ROUNDUP((Модель!B6+Модель!B24)/(A11*F5),0)</f>
        <v/>
      </c>
      <c r="G11" s="22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3" t="n">
        <v>20</v>
      </c>
      <c r="C15" s="23" t="n">
        <v>30</v>
      </c>
      <c r="D15" s="23" t="n">
        <v>40</v>
      </c>
      <c r="E15" s="23" t="n">
        <v>60</v>
      </c>
      <c r="F15" s="23" t="n">
        <v>80</v>
      </c>
      <c r="G15" s="23" t="n">
        <v>100</v>
      </c>
    </row>
    <row r="16">
      <c r="A16" s="24" t="n">
        <v>1000</v>
      </c>
      <c r="B16" s="22">
        <f>ROUND(A16/B15,0)</f>
        <v/>
      </c>
      <c r="C16" s="22">
        <f>ROUND(A16/C15,0)</f>
        <v/>
      </c>
      <c r="D16" s="22">
        <f>ROUND(A16/D15,0)</f>
        <v/>
      </c>
      <c r="E16" s="22">
        <f>ROUND(A16/E15,0)</f>
        <v/>
      </c>
      <c r="F16" s="22">
        <f>ROUND(A16/F15,0)</f>
        <v/>
      </c>
      <c r="G16" s="22">
        <f>ROUND(A16/G15,0)</f>
        <v/>
      </c>
    </row>
    <row r="17">
      <c r="A17" s="24" t="n">
        <v>2000</v>
      </c>
      <c r="B17" s="22">
        <f>ROUND(A17/B15,0)</f>
        <v/>
      </c>
      <c r="C17" s="22">
        <f>ROUND(A17/C15,0)</f>
        <v/>
      </c>
      <c r="D17" s="22">
        <f>ROUND(A17/D15,0)</f>
        <v/>
      </c>
      <c r="E17" s="22">
        <f>ROUND(A17/E15,0)</f>
        <v/>
      </c>
      <c r="F17" s="22">
        <f>ROUND(A17/F15,0)</f>
        <v/>
      </c>
      <c r="G17" s="22">
        <f>ROUND(A17/G15,0)</f>
        <v/>
      </c>
    </row>
    <row r="18">
      <c r="A18" s="24" t="n">
        <v>3000</v>
      </c>
      <c r="B18" s="22">
        <f>ROUND(A18/B15,0)</f>
        <v/>
      </c>
      <c r="C18" s="22">
        <f>ROUND(A18/C15,0)</f>
        <v/>
      </c>
      <c r="D18" s="22">
        <f>ROUND(A18/D15,0)</f>
        <v/>
      </c>
      <c r="E18" s="22">
        <f>ROUND(A18/E15,0)</f>
        <v/>
      </c>
      <c r="F18" s="22">
        <f>ROUND(A18/F15,0)</f>
        <v/>
      </c>
      <c r="G18" s="22">
        <f>ROUND(A18/G15,0)</f>
        <v/>
      </c>
    </row>
    <row r="19">
      <c r="A19" s="24" t="n">
        <v>5000</v>
      </c>
      <c r="B19" s="22">
        <f>ROUND(A19/B15,0)</f>
        <v/>
      </c>
      <c r="C19" s="22">
        <f>ROUND(A19/C15,0)</f>
        <v/>
      </c>
      <c r="D19" s="22">
        <f>ROUND(A19/D15,0)</f>
        <v/>
      </c>
      <c r="E19" s="22">
        <f>ROUND(A19/E15,0)</f>
        <v/>
      </c>
      <c r="F19" s="22">
        <f>ROUND(A19/F15,0)</f>
        <v/>
      </c>
      <c r="G19" s="22">
        <f>ROUND(A19/G15,0)</f>
        <v/>
      </c>
    </row>
    <row r="20">
      <c r="A20" s="24" t="n">
        <v>8000</v>
      </c>
      <c r="B20" s="22">
        <f>ROUND(A20/B15,0)</f>
        <v/>
      </c>
      <c r="C20" s="22">
        <f>ROUND(A20/C15,0)</f>
        <v/>
      </c>
      <c r="D20" s="22">
        <f>ROUND(A20/D15,0)</f>
        <v/>
      </c>
      <c r="E20" s="22">
        <f>ROUND(A20/E15,0)</f>
        <v/>
      </c>
      <c r="F20" s="22">
        <f>ROUND(A20/F15,0)</f>
        <v/>
      </c>
      <c r="G20" s="22">
        <f>ROUND(A20/G15,0)</f>
        <v/>
      </c>
    </row>
    <row r="21">
      <c r="A21" s="24" t="n">
        <v>10000</v>
      </c>
      <c r="B21" s="22">
        <f>ROUND(A21/B15,0)</f>
        <v/>
      </c>
      <c r="C21" s="22">
        <f>ROUND(A21/C15,0)</f>
        <v/>
      </c>
      <c r="D21" s="22">
        <f>ROUND(A21/D15,0)</f>
        <v/>
      </c>
      <c r="E21" s="22">
        <f>ROUND(A21/E15,0)</f>
        <v/>
      </c>
      <c r="F21" s="22">
        <f>ROUND(A21/F15,0)</f>
        <v/>
      </c>
      <c r="G21" s="22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1" customWidth="1" min="4" max="4"/>
    <col width="12" customWidth="1" min="5" max="5"/>
    <col width="16" customWidth="1" min="6" max="6"/>
    <col width="18" customWidth="1" min="7" max="7"/>
    <col width="9" customWidth="1" min="8" max="8"/>
    <col width="8" customWidth="1" min="9" max="9"/>
    <col width="24" customWidth="1" min="10" max="10"/>
    <col width="16" customWidth="1" min="11" max="11"/>
    <col width="50" customWidth="1" min="12" max="12"/>
  </cols>
  <sheetData>
    <row r="1" ht="44" customHeight="1">
      <c r="A1" s="17" t="inlineStr">
        <is>
          <t>Ниша (БЕЗ БАД)</t>
        </is>
      </c>
      <c r="B1" s="17" t="inlineStr">
        <is>
          <t>Пример (бренд)</t>
        </is>
      </c>
      <c r="C1" s="17" t="inlineStr">
        <is>
          <t>ASIN</t>
        </is>
      </c>
      <c r="D1" s="17" t="inlineStr">
        <is>
          <t>Цена US, $</t>
        </is>
      </c>
      <c r="E1" s="17" t="inlineStr">
        <is>
          <t>Цена US, AED</t>
        </is>
      </c>
      <c r="F1" s="17" t="inlineStr">
        <is>
          <t>Продажи US, шт/мес</t>
        </is>
      </c>
      <c r="G1" s="17" t="inlineStr">
        <is>
          <t>Оценка ОАЭ ÷40, шт/мес</t>
        </is>
      </c>
      <c r="H1" s="17" t="inlineStr">
        <is>
          <t>Отзывы</t>
        </is>
      </c>
      <c r="I1" s="17" t="inlineStr">
        <is>
          <t>Офферов</t>
        </is>
      </c>
      <c r="J1" s="17" t="inlineStr">
        <is>
          <t>Регистрация в ОАЭ</t>
        </is>
      </c>
      <c r="K1" s="17" t="inlineStr">
        <is>
          <t>Барьер входа</t>
        </is>
      </c>
      <c r="L1" s="17" t="inlineStr">
        <is>
          <t>Комментарий</t>
        </is>
      </c>
    </row>
    <row r="2">
      <c r="A2" s="18" t="inlineStr">
        <is>
          <t>Бандаж запястья / карпал-туннель</t>
        </is>
      </c>
      <c r="B2" s="18" t="inlineStr">
        <is>
          <t>FREETOO</t>
        </is>
      </c>
      <c r="C2" s="18" t="inlineStr">
        <is>
          <t>B0DNFTL63F</t>
        </is>
      </c>
      <c r="D2" s="25" t="n">
        <v>19.95</v>
      </c>
      <c r="E2" s="26">
        <f>D2*3.6725</f>
        <v/>
      </c>
      <c r="F2" s="22" t="n">
        <v>3000</v>
      </c>
      <c r="G2" s="22">
        <f>ROUND(F2/40,0)</f>
        <v/>
      </c>
      <c r="H2" s="22" t="n">
        <v>5704</v>
      </c>
      <c r="I2" s="18" t="n">
        <v>1</v>
      </c>
      <c r="J2" s="18" t="inlineStr">
        <is>
          <t>нет (обычный товар)</t>
        </is>
      </c>
      <c r="K2" s="27" t="inlineStr">
        <is>
          <t>Низкий</t>
        </is>
      </c>
      <c r="L2" s="28" t="inlineStr">
        <is>
          <t>★ Не БАД, не мед.прибор. Лёгкий, private-label легко. У бренда 5+ SKU-вариантов (левая/правая рука).</t>
        </is>
      </c>
    </row>
    <row r="3">
      <c r="A3" s="18" t="inlineStr">
        <is>
          <t>Аптечка / First Aid Kit</t>
        </is>
      </c>
      <c r="B3" s="18" t="inlineStr">
        <is>
          <t>First Aid Only</t>
        </is>
      </c>
      <c r="C3" s="18" t="inlineStr">
        <is>
          <t>B08P27LHJ4</t>
        </is>
      </c>
      <c r="D3" s="25" t="n">
        <v>20.95</v>
      </c>
      <c r="E3" s="26">
        <f>D3*3.6725</f>
        <v/>
      </c>
      <c r="F3" s="22" t="n">
        <v>10000</v>
      </c>
      <c r="G3" s="22">
        <f>ROUND(F3/40,0)</f>
        <v/>
      </c>
      <c r="H3" s="22" t="n">
        <v>5658</v>
      </c>
      <c r="I3" s="18" t="n">
        <v>1</v>
      </c>
      <c r="J3" s="18" t="inlineStr">
        <is>
          <t>нет (набор расходников)</t>
        </is>
      </c>
      <c r="K3" s="27" t="inlineStr">
        <is>
          <t>Низкий</t>
        </is>
      </c>
      <c r="L3" s="28" t="inlineStr">
        <is>
          <t>★ Высокий спрос, не БАД. Габарит больше — заложи FBA/логистику.</t>
        </is>
      </c>
    </row>
    <row r="4">
      <c r="A4" s="18" t="inlineStr">
        <is>
          <t>Органические прокладки</t>
        </is>
      </c>
      <c r="B4" s="18" t="inlineStr">
        <is>
          <t>This is L.</t>
        </is>
      </c>
      <c r="C4" s="18" t="inlineStr">
        <is>
          <t>B0DR3BYKWC</t>
        </is>
      </c>
      <c r="D4" s="25" t="n">
        <v>22.99</v>
      </c>
      <c r="E4" s="26">
        <f>D4*3.6725</f>
        <v/>
      </c>
      <c r="F4" s="22" t="n">
        <v>5000</v>
      </c>
      <c r="G4" s="22">
        <f>ROUND(F4/40,0)</f>
        <v/>
      </c>
      <c r="H4" s="22" t="n">
        <v>1091</v>
      </c>
      <c r="I4" s="18" t="n">
        <v>3</v>
      </c>
      <c r="J4" s="18" t="inlineStr">
        <is>
          <t>нет (гигиена)</t>
        </is>
      </c>
      <c r="K4" s="27" t="inlineStr">
        <is>
          <t>Низкий</t>
        </is>
      </c>
      <c r="L4" s="28" t="inlineStr">
        <is>
          <t>★ Не БАД. Женская гигиена, органик-ниша растёт, повторные покупки.</t>
        </is>
      </c>
    </row>
    <row r="5">
      <c r="A5" s="18" t="inlineStr">
        <is>
          <t>Органические прокладки/тампоны</t>
        </is>
      </c>
      <c r="B5" s="18" t="inlineStr">
        <is>
          <t>Honey Pot</t>
        </is>
      </c>
      <c r="C5" s="18" t="inlineStr">
        <is>
          <t>B0DCDPBZX2</t>
        </is>
      </c>
      <c r="D5" s="25" t="n">
        <v>22.99</v>
      </c>
      <c r="E5" s="26">
        <f>D5*3.6725</f>
        <v/>
      </c>
      <c r="F5" s="22" t="n">
        <v>2000</v>
      </c>
      <c r="G5" s="22">
        <f>ROUND(F5/40,0)</f>
        <v/>
      </c>
      <c r="H5" s="22" t="n">
        <v>1366</v>
      </c>
      <c r="I5" s="18" t="n">
        <v>2</v>
      </c>
      <c r="J5" s="18" t="inlineStr">
        <is>
          <t>нет (гигиена)</t>
        </is>
      </c>
      <c r="K5" s="27" t="inlineStr">
        <is>
          <t>Низкий</t>
        </is>
      </c>
      <c r="L5" s="28" t="inlineStr">
        <is>
          <t>Органик женская гигиена, свежий бренд, лёгкая логистика.</t>
        </is>
      </c>
    </row>
    <row r="6">
      <c r="A6" s="18" t="inlineStr">
        <is>
          <t>Отбеливание зубов (гель+каппа)</t>
        </is>
      </c>
      <c r="B6" s="18" t="inlineStr">
        <is>
          <t>Opalescence</t>
        </is>
      </c>
      <c r="C6" s="18" t="inlineStr">
        <is>
          <t>B000MMYI8G</t>
        </is>
      </c>
      <c r="D6" s="25" t="n">
        <v>28.98</v>
      </c>
      <c r="E6" s="26">
        <f>D6*3.6725</f>
        <v/>
      </c>
      <c r="F6" s="22" t="n">
        <v>10000</v>
      </c>
      <c r="G6" s="22">
        <f>ROUND(F6/40,0)</f>
        <v/>
      </c>
      <c r="H6" s="22" t="n">
        <v>3439</v>
      </c>
      <c r="I6" s="18" t="n">
        <v>1</v>
      </c>
      <c r="J6" s="18" t="inlineStr">
        <is>
          <t>космет. рег. (легче БАД)</t>
        </is>
      </c>
      <c r="K6" s="29" t="inlineStr">
        <is>
          <t>Средний</t>
        </is>
      </c>
      <c r="L6" s="28" t="inlineStr">
        <is>
          <t>Оральная косметика — регистрация проще БАД, но нужна. Высокий спрос.</t>
        </is>
      </c>
    </row>
    <row r="7">
      <c r="A7" s="18" t="inlineStr">
        <is>
          <t>Зубная паста гидроксиапатит</t>
        </is>
      </c>
      <c r="B7" s="18" t="inlineStr">
        <is>
          <t>Himalaya</t>
        </is>
      </c>
      <c r="C7" s="18" t="inlineStr">
        <is>
          <t>B0C4MMPCQH</t>
        </is>
      </c>
      <c r="D7" s="25" t="n">
        <v>19.59</v>
      </c>
      <c r="E7" s="26">
        <f>D7*3.6725</f>
        <v/>
      </c>
      <c r="F7" s="22" t="n">
        <v>1000</v>
      </c>
      <c r="G7" s="22">
        <f>ROUND(F7/40,0)</f>
        <v/>
      </c>
      <c r="H7" s="22" t="n">
        <v>3699</v>
      </c>
      <c r="I7" s="18" t="n">
        <v>1</v>
      </c>
      <c r="J7" s="18" t="inlineStr">
        <is>
          <t>космет. рег.</t>
        </is>
      </c>
      <c r="K7" s="29" t="inlineStr">
        <is>
          <t>Средний</t>
        </is>
      </c>
      <c r="L7" s="28" t="inlineStr">
        <is>
          <t>Fluoride-free тренд, оральная косметика.</t>
        </is>
      </c>
    </row>
    <row r="8">
      <c r="A8" s="18" t="inlineStr">
        <is>
          <t>Повязка на рану (Xeroform)</t>
        </is>
      </c>
      <c r="B8" s="18" t="inlineStr">
        <is>
          <t>Dr. Med</t>
        </is>
      </c>
      <c r="C8" s="18" t="inlineStr">
        <is>
          <t>B0BGXMXNRD</t>
        </is>
      </c>
      <c r="D8" s="25" t="n">
        <v>25.99</v>
      </c>
      <c r="E8" s="26">
        <f>D8*3.6725</f>
        <v/>
      </c>
      <c r="F8" s="22" t="n">
        <v>1000</v>
      </c>
      <c r="G8" s="22">
        <f>ROUND(F8/40,0)</f>
        <v/>
      </c>
      <c r="H8" s="22" t="n">
        <v>1292</v>
      </c>
      <c r="I8" s="18" t="n">
        <v>1</v>
      </c>
      <c r="J8" s="18" t="inlineStr">
        <is>
          <t>мед.изделие (MOHAP)</t>
        </is>
      </c>
      <c r="K8" s="30" t="inlineStr">
        <is>
          <t>Высокий</t>
        </is>
      </c>
      <c r="L8" s="28" t="inlineStr">
        <is>
          <t>Раневые повязки = мед.изделие → регистрация MOHAP. Не БАД, но барьер есть.</t>
        </is>
      </c>
    </row>
    <row r="9">
      <c r="A9" s="18" t="inlineStr">
        <is>
          <t>Флашбл-салфетки (гигиена)</t>
        </is>
      </c>
      <c r="B9" s="18" t="inlineStr">
        <is>
          <t>DUDE Wipes</t>
        </is>
      </c>
      <c r="C9" s="18" t="inlineStr">
        <is>
          <t>B0GFFLR222</t>
        </is>
      </c>
      <c r="D9" s="25" t="n">
        <v>16.98</v>
      </c>
      <c r="E9" s="26">
        <f>D9*3.6725</f>
        <v/>
      </c>
      <c r="F9" s="22" t="n">
        <v>9000</v>
      </c>
      <c r="G9" s="22">
        <f>ROUND(F9/40,0)</f>
        <v/>
      </c>
      <c r="H9" s="22" t="n">
        <v>241600</v>
      </c>
      <c r="I9" s="18" t="n">
        <v>1</v>
      </c>
      <c r="J9" s="18" t="inlineStr">
        <is>
          <t>нет (гигиена)</t>
        </is>
      </c>
      <c r="K9" s="30" t="inlineStr">
        <is>
          <t>Высокий</t>
        </is>
      </c>
      <c r="L9" s="28" t="inlineStr">
        <is>
          <t>Спрос огромный, но бренд-война (DUDE/Cottonelle) — тяжело зайти новичку.</t>
        </is>
      </c>
    </row>
    <row r="10">
      <c r="A10" s="31" t="inlineStr">
        <is>
          <t>СМЕЖНЫЕ НЕ-БАД НИШИ К ПРОВЕРКЕ (запусти title-поиск в Keepa)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18" t="inlineStr">
        <is>
          <t>Корректор осанки (posture)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inlineStr">
        <is>
          <t>нет (обычный товар)</t>
        </is>
      </c>
      <c r="K11" s="27" t="inlineStr">
        <is>
          <t>Низкий</t>
        </is>
      </c>
      <c r="L11" s="28" t="inlineStr">
        <is>
          <t>Классика private-label, лёгкий, вирусится в соцсетях.</t>
        </is>
      </c>
    </row>
    <row r="12">
      <c r="A12" s="18" t="inlineStr">
        <is>
          <t>Наколенник / налокотник / бандаж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inlineStr">
        <is>
          <t>нет (обычный товар)</t>
        </is>
      </c>
      <c r="K12" s="27" t="inlineStr">
        <is>
          <t>Низкий</t>
        </is>
      </c>
      <c r="L12" s="28" t="inlineStr">
        <is>
          <t>Спорт/восстановление, много под-SKU по размерам.</t>
        </is>
      </c>
    </row>
    <row r="13">
      <c r="A13" s="18" t="inlineStr">
        <is>
          <t>Компрессионные носки / рукава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inlineStr">
        <is>
          <t>нет (обычный товар)</t>
        </is>
      </c>
      <c r="K13" s="27" t="inlineStr">
        <is>
          <t>Низкий</t>
        </is>
      </c>
      <c r="L13" s="28" t="inlineStr">
        <is>
          <t>Тревел/спорт/варикоз, лёгкий, дёшев в логистике.</t>
        </is>
      </c>
    </row>
    <row r="14">
      <c r="A14" s="18" t="inlineStr">
        <is>
          <t>Ортопедические стельки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inlineStr">
        <is>
          <t>нет (обычный товар)</t>
        </is>
      </c>
      <c r="K14" s="27" t="inlineStr">
        <is>
          <t>Низкий</t>
        </is>
      </c>
      <c r="L14" s="28" t="inlineStr">
        <is>
          <t>Расходка, повторные покупки, лёгкие.</t>
        </is>
      </c>
    </row>
    <row r="15">
      <c r="A15" s="18" t="inlineStr">
        <is>
          <t>Массажный коврик (акупрессура)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inlineStr">
        <is>
          <t>нет (обычный товар)</t>
        </is>
      </c>
      <c r="K15" s="27" t="inlineStr">
        <is>
          <t>Низкий</t>
        </is>
      </c>
      <c r="L15" s="28" t="inlineStr">
        <is>
          <t>Не электро; смотри объёмный вес для FBA.</t>
        </is>
      </c>
    </row>
    <row r="16">
      <c r="A16" s="18" t="inlineStr">
        <is>
          <t>Органайзер для таблеток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inlineStr">
        <is>
          <t>нет (обычный товар)</t>
        </is>
      </c>
      <c r="K16" s="27" t="inlineStr">
        <is>
          <t>Низкий</t>
        </is>
      </c>
      <c r="L16" s="28" t="inlineStr">
        <is>
          <t>Пластик, дёшево, стабильный спрос, лёгкий.</t>
        </is>
      </c>
    </row>
    <row r="17">
      <c r="A17" s="18" t="inlineStr">
        <is>
          <t>Массаж-пистолет / ролик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inlineStr">
        <is>
          <t>эл.прибор (G-mark/сертиф.)</t>
        </is>
      </c>
      <c r="K17" s="29" t="inlineStr">
        <is>
          <t>Средний</t>
        </is>
      </c>
      <c r="L17" s="28" t="inlineStr">
        <is>
          <t>Электроника → сертификация ОАЭ (G-mark). Высокий чек.</t>
        </is>
      </c>
    </row>
    <row r="18">
      <c r="A18" s="18" t="inlineStr">
        <is>
          <t>Грелка электрическая (heating pad)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inlineStr">
        <is>
          <t>эл.прибор (G-mark/сертиф.)</t>
        </is>
      </c>
      <c r="K18" s="29" t="inlineStr">
        <is>
          <t>Средний</t>
        </is>
      </c>
      <c r="L18" s="28" t="inlineStr">
        <is>
          <t>Электроника → сертификация. Сезонность.</t>
        </is>
      </c>
    </row>
    <row r="20">
      <c r="A20" s="2" t="inlineStr">
        <is>
          <t>★ = приоритет для НОВОГО продавца: спрос есть, вход дешевле, БЕЗ регистрации. ВАЖНО: «не БАД» ≠ «без регистрации» — мед.изделия (повязки, тонометры, TENS) → MOHAP; электроника (массажёры, грелки) → сертификация; оральная косметика → космет.регистрация. Самый лёгкий путь — бандажи/компрессия/гигиена/стельки/органайзеры.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ФОКУС: БЕЗ БАД. Регуляторные уровни для не-проглатываемых товаров</t>
        </is>
      </c>
    </row>
    <row r="23">
      <c r="A23" t="inlineStr">
        <is>
          <t>• БАД/добавки ИСКЛЮЧЕНЫ из подбора (по требованию). Ниже — только физические не-проглатываемые товары.</t>
        </is>
      </c>
    </row>
    <row r="24">
      <c r="A24" t="inlineStr">
        <is>
          <t>• ВАЖНО: «не БАД» НЕ значит «без регистрации». Уровни барьера:</t>
        </is>
      </c>
    </row>
    <row r="25">
      <c r="A25" t="inlineStr">
        <is>
          <t xml:space="preserve">   🟢 Обычный товар — бандажи, компрессия, стельки, органайзеры, корректор осанки, акупресс.коврик,</t>
        </is>
      </c>
    </row>
    <row r="26">
      <c r="A26" t="inlineStr">
        <is>
          <t xml:space="preserve">      женская гигиена, аптечка-набор. Нужен трейд-лайсенс + соответствие маркировке (ар/англ). Легче всего.</t>
        </is>
      </c>
    </row>
    <row r="27">
      <c r="A27" t="inlineStr">
        <is>
          <t xml:space="preserve">   🟡 Оральная косметика — отбеливание зубов, паста: регистрация косметики (легче БАД, но нужна).</t>
        </is>
      </c>
    </row>
    <row r="28">
      <c r="A28" t="inlineStr">
        <is>
          <t xml:space="preserve">   🟡 Электроника — массаж-пистолет, электрогрелка, тонометр: сертификация/G-mark на электронику.</t>
        </is>
      </c>
    </row>
    <row r="29">
      <c r="A29" t="inlineStr">
        <is>
          <t xml:space="preserve">   🔴 Мед.изделия — раневые повязки, TENS, глюкометры, тонометры (как мед.прибор): регистрация MOHAP.</t>
        </is>
      </c>
    </row>
    <row r="30">
      <c r="A30" t="inlineStr">
        <is>
          <t>• Вывод: новичку стартовать с 🟢-товаров (бандаж FREETOO, компрессия, органик-гигиена, стельки,</t>
        </is>
      </c>
    </row>
    <row r="31">
      <c r="A31" t="inlineStr">
        <is>
          <t xml:space="preserve">  органайзер). Косметику/электронику/мед.изделия — вторым шагом, когда готов пройти их регистрацию.</t>
        </is>
      </c>
    </row>
    <row r="32">
      <c r="A32" t="inlineStr"/>
    </row>
    <row r="33">
      <c r="A33" s="5" t="inlineStr">
        <is>
          <t>ДОПУЩЕНИЯ ПО УМОЛЧАНИЮ (меняй под себя)</t>
        </is>
      </c>
    </row>
    <row r="34">
      <c r="A34" t="inlineStr">
        <is>
          <t>• Курс USD→AED = 3.6725 (жёсткая привязка дирхама).</t>
        </is>
      </c>
    </row>
    <row r="35">
      <c r="A35" t="inlineStr">
        <is>
          <t>• Реферальная комиссия Amazon.ae для Health/Beauty ≈ 8–15% (взял 15% консервативно).</t>
        </is>
      </c>
    </row>
    <row r="36">
      <c r="A36" t="inlineStr">
        <is>
          <t>• FBA fulfilment и фикс-расходы — ориентировочные; уточни в Seller Central ОАЭ под свой вес/габарит.</t>
        </is>
      </c>
    </row>
    <row r="37">
      <c r="A37" t="inlineStr">
        <is>
          <t>• НДС ОАЭ 5% — собирается сверху цены и перечисляется государству, в чистую прибыль НЕ входит.</t>
        </is>
      </c>
    </row>
    <row r="38">
      <c r="A38" t="inlineStr">
        <is>
          <t>• monthly_sold из Keepa округляется бакетами (500/1K/2K/…); это оценка «куплено за месяц», не точное число.</t>
        </is>
      </c>
    </row>
    <row r="39">
      <c r="A39" t="inlineStr"/>
    </row>
    <row r="40">
      <c r="A40" s="5" t="inlineStr">
        <is>
          <t>ИСТОЧНИКИ ДАННЫХ</t>
        </is>
      </c>
    </row>
    <row r="41">
      <c r="A41" t="inlineStr">
        <is>
          <t>• Keepa Product Finder, категория Health &amp; Household (US, catId 3760901) — продажи/цены/конкуренция.</t>
        </is>
      </c>
    </row>
    <row r="42">
      <c r="A42" t="inlineStr">
        <is>
          <t>• Amazon global revenue (ecommerceDB/Statista) и amazon.ae sales — для оценки масштаба рынков.</t>
        </is>
      </c>
    </row>
    <row r="43">
      <c r="A43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2026-07-14T10:09:31Z</dcterms:created>
  <dcterms:modified xsi:type="dcterms:W3CDTF">2026-07-14T10:09:31Z</dcterms:modified>
</cp:coreProperties>
</file>