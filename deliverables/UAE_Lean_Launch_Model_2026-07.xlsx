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_лин" sheetId="1" state="visible" r:id="rId1"/>
    <sheet xmlns:r="http://schemas.openxmlformats.org/officeDocument/2006/relationships" name="Лин-план" sheetId="2" state="visible" r:id="rId2"/>
  </sheets>
  <definedNames>
    <definedName name="USD_AED">'Параметры_лин'!$B$3</definedName>
    <definedName name="PHOTO">'Параметры_лин'!$B$4</definedName>
    <definedName name="SAMPLES">'Параметры_лин'!$B$5</definedName>
    <definedName name="PPC_SKU">'Параметры_лин'!$B$6</definedName>
    <definedName name="LOGI">'Параметры_лин'!$B$7</definedName>
    <definedName name="CERT">'Параметры_лин'!$B$8</definedName>
    <definedName name="RESERVE">'Параметры_лин'!$B$9</definedName>
    <definedName name="CIT">'Параметры_лин'!$B$10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%"/>
    <numFmt numFmtId="166" formatCode="#,##0.0"/>
    <numFmt numFmtId="167" formatCode="$#,##0"/>
    <numFmt numFmtId="168" formatCode="0.0"/>
  </numFmts>
  <fonts count="7">
    <font>
      <name val="Calibri"/>
      <family val="2"/>
      <color theme="1"/>
      <sz val="11"/>
      <scheme val="minor"/>
    </font>
    <font>
      <b val="1"/>
      <color rgb="001F4E78"/>
      <sz val="12"/>
    </font>
    <font>
      <b val="1"/>
    </font>
    <font>
      <b val="1"/>
      <color rgb="00FFFFFF"/>
    </font>
    <font>
      <color rgb="000563C1"/>
      <u val="single"/>
    </font>
    <font>
      <b val="1"/>
      <color rgb="00C00000"/>
    </font>
    <font>
      <b val="1"/>
      <color rgb="001F6E28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mazon.ae/dp/B0GYF91BXB" TargetMode="External" Id="rId1"/><Relationship Type="http://schemas.openxmlformats.org/officeDocument/2006/relationships/hyperlink" Target="https://www.amazon.ae/dp/B0GDTFFKYC" TargetMode="External" Id="rId2"/><Relationship Type="http://schemas.openxmlformats.org/officeDocument/2006/relationships/hyperlink" Target="https://www.amazon.ae/dp/B0GSZHLZ3B" TargetMode="External" Id="rId3"/><Relationship Type="http://schemas.openxmlformats.org/officeDocument/2006/relationships/hyperlink" Target="https://www.amazon.ae/dp/B0GCJQ4Z51" TargetMode="External" Id="rId4"/><Relationship Type="http://schemas.openxmlformats.org/officeDocument/2006/relationships/hyperlink" Target="https://www.amazon.ae/dp/B0GZZ3VM69" TargetMode="External" Id="rId5"/><Relationship Type="http://schemas.openxmlformats.org/officeDocument/2006/relationships/hyperlink" Target="https://www.amazon.ae/dp/B0GKMVTD6V" TargetMode="External" Id="rId6"/><Relationship Type="http://schemas.openxmlformats.org/officeDocument/2006/relationships/hyperlink" Target="https://www.amazon.ae/dp/B0GV2DHXWS" TargetMode="External" Id="rId7"/><Relationship Type="http://schemas.openxmlformats.org/officeDocument/2006/relationships/hyperlink" Target="https://www.amazon.ae/dp/B0GF7LLCL8" TargetMode="External" Id="rId8"/><Relationship Type="http://schemas.openxmlformats.org/officeDocument/2006/relationships/hyperlink" Target="https://www.amazon.ae/dp/B0GL357H51" TargetMode="External" Id="rId9"/><Relationship Type="http://schemas.openxmlformats.org/officeDocument/2006/relationships/hyperlink" Target="https://www.amazon.ae/dp/B0GQHGFFHC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ЛИН-ЗАПУСК ОАЭ — редактируйте жёлтые ячейки. На листе 'Лин-план' ставьте Вкл=1/0 по каждому SKU.</t>
        </is>
      </c>
    </row>
    <row r="2">
      <c r="A2" s="2" t="inlineStr">
        <is>
          <t>Параметр</t>
        </is>
      </c>
      <c r="B2" s="2" t="inlineStr">
        <is>
          <t>Значение</t>
        </is>
      </c>
    </row>
    <row r="3">
      <c r="A3" s="3" t="inlineStr">
        <is>
          <t>Курс USD→AED</t>
        </is>
      </c>
      <c r="B3" s="4" t="n">
        <v>3.6725</v>
      </c>
    </row>
    <row r="4">
      <c r="A4" s="3" t="inlineStr">
        <is>
          <t>Фото/листинг на SKU, AED</t>
        </is>
      </c>
      <c r="B4" s="5" t="n">
        <v>700</v>
      </c>
    </row>
    <row r="5">
      <c r="A5" s="3" t="inlineStr">
        <is>
          <t>Образцы+QC на SKU, AED</t>
        </is>
      </c>
      <c r="B5" s="5" t="n">
        <v>500</v>
      </c>
    </row>
    <row r="6">
      <c r="A6" s="3" t="inlineStr">
        <is>
          <t>Стартовый PPC на SKU, AED</t>
        </is>
      </c>
      <c r="B6" s="5" t="n">
        <v>1500</v>
      </c>
    </row>
    <row r="7">
      <c r="A7" s="3" t="inlineStr">
        <is>
          <t>Логистика (общая), AED</t>
        </is>
      </c>
      <c r="B7" s="5" t="n">
        <v>2500</v>
      </c>
    </row>
    <row r="8">
      <c r="A8" s="3" t="inlineStr">
        <is>
          <t>Сертификация (если есть электрика), AED</t>
        </is>
      </c>
      <c r="B8" s="5" t="n">
        <v>6000</v>
      </c>
    </row>
    <row r="9">
      <c r="A9" s="3" t="inlineStr">
        <is>
          <t>Резерв</t>
        </is>
      </c>
      <c r="B9" s="6" t="n">
        <v>0.05</v>
      </c>
    </row>
    <row r="10">
      <c r="A10" s="3" t="inlineStr">
        <is>
          <t>Налог ОАЭ</t>
        </is>
      </c>
      <c r="B10" s="7" t="n">
        <v>0.09</v>
      </c>
    </row>
    <row r="12">
      <c r="A12" s="8" t="inlineStr">
        <is>
          <t>ИДЕЯ ЛИН-ЗАПУСКА:</t>
        </is>
      </c>
    </row>
    <row r="13">
      <c r="A13" s="3" t="inlineStr">
        <is>
          <t>• Тестируем нишу малой кровью: несколько SKU-героев, партии близко к MOQ.</t>
        </is>
      </c>
    </row>
    <row r="14">
      <c r="A14" s="3" t="inlineStr">
        <is>
          <t>• Старт с НЕэлектрических товаров → без сертификации ESMA/G-Mark (быстрее и дешевле).</t>
        </is>
      </c>
    </row>
    <row r="15">
      <c r="A15" s="3" t="inlineStr">
        <is>
          <t>• PPC на старте скромный, наращиваем из выручки, а не из капитала.</t>
        </is>
      </c>
    </row>
    <row r="16">
      <c r="A16" s="3" t="inlineStr">
        <is>
          <t>• Ставьте Вкл=1 у нужных SKU — бюджет, EBITDA и окупаемость пересчитаются.</t>
        </is>
      </c>
    </row>
    <row r="17">
      <c r="A17" s="3" t="inlineStr">
        <is>
          <t>• Прибыль реинвестируем в следующие партии/SKU (самофинансируемый рост).</t>
        </is>
      </c>
    </row>
  </sheetData>
  <mergeCells count="7">
    <mergeCell ref="A1:D1"/>
    <mergeCell ref="A16:F16"/>
    <mergeCell ref="A13:F13"/>
    <mergeCell ref="A14:F14"/>
    <mergeCell ref="A17:F17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3" customWidth="1" min="3" max="3"/>
    <col width="8" customWidth="1" min="4" max="4"/>
    <col width="8" customWidth="1" min="5" max="5"/>
    <col width="9" customWidth="1" min="6" max="6"/>
    <col width="11" customWidth="1" min="7" max="7"/>
    <col width="11" customWidth="1" min="8" max="8"/>
    <col width="11" customWidth="1" min="9" max="9"/>
    <col width="12" customWidth="1" min="10" max="10"/>
    <col hidden="1" width="13" customWidth="1" min="12" max="12"/>
  </cols>
  <sheetData>
    <row r="1">
      <c r="A1" s="1" t="inlineStr">
        <is>
          <t>ЛИН-ПЛАН ЗАПУСКА ОАЭ — Вкл(1/0), Заказ шт — ввод; остальное формулы.</t>
        </is>
      </c>
    </row>
    <row r="3">
      <c r="A3" s="9" t="inlineStr">
        <is>
          <t>№</t>
        </is>
      </c>
      <c r="B3" s="9" t="inlineStr">
        <is>
          <t>Товар</t>
        </is>
      </c>
      <c r="C3" s="9" t="inlineStr">
        <is>
          <t>ASIN</t>
        </is>
      </c>
      <c r="D3" s="9" t="inlineStr">
        <is>
          <t>Электро?</t>
        </is>
      </c>
      <c r="E3" s="9" t="inlineStr">
        <is>
          <t>Вкл (1/0)</t>
        </is>
      </c>
      <c r="F3" s="9" t="inlineStr">
        <is>
          <t>Заказ, шт</t>
        </is>
      </c>
      <c r="G3" s="9" t="inlineStr">
        <is>
          <t>Landed AED/шт</t>
        </is>
      </c>
      <c r="H3" s="9" t="inlineStr">
        <is>
          <t>Закупка AED</t>
        </is>
      </c>
      <c r="I3" s="9" t="inlineStr">
        <is>
          <t>EBITDA/шт AED</t>
        </is>
      </c>
      <c r="J3" s="9" t="inlineStr">
        <is>
          <t>EBITDA/мес AED</t>
        </is>
      </c>
    </row>
    <row r="4">
      <c r="A4" s="10" t="n">
        <v>1</v>
      </c>
      <c r="B4" s="11" t="inlineStr">
        <is>
          <t>Ремни для переноски мебели (плечевые), 2 чел.</t>
        </is>
      </c>
      <c r="C4" s="12" t="inlineStr">
        <is>
          <t>B0GYF91BXB</t>
        </is>
      </c>
      <c r="D4" s="10" t="inlineStr">
        <is>
          <t>нет</t>
        </is>
      </c>
      <c r="E4" s="13" t="n">
        <v>1</v>
      </c>
      <c r="F4" s="14" t="n">
        <v>300</v>
      </c>
      <c r="G4" s="15" t="n">
        <v>29.7</v>
      </c>
      <c r="H4" s="16">
        <f>E4*F4*G4</f>
        <v/>
      </c>
      <c r="I4" s="15" t="n">
        <v>30.5</v>
      </c>
      <c r="J4" s="16">
        <f>E4*13707</f>
        <v/>
      </c>
      <c r="L4" t="n">
        <v>0</v>
      </c>
    </row>
    <row r="5">
      <c r="A5" s="10" t="n">
        <v>2</v>
      </c>
      <c r="B5" s="11" t="inlineStr">
        <is>
          <t>Искусственная зелень эвкалипт, 130 шт (декор)</t>
        </is>
      </c>
      <c r="C5" s="12" t="inlineStr">
        <is>
          <t>B0GDTFFKYC</t>
        </is>
      </c>
      <c r="D5" s="10" t="inlineStr">
        <is>
          <t>нет</t>
        </is>
      </c>
      <c r="E5" s="13" t="n">
        <v>1</v>
      </c>
      <c r="F5" s="14" t="n">
        <v>300</v>
      </c>
      <c r="G5" s="15" t="n">
        <v>28</v>
      </c>
      <c r="H5" s="16">
        <f>E5*F5*G5</f>
        <v/>
      </c>
      <c r="I5" s="15" t="n">
        <v>29.7</v>
      </c>
      <c r="J5" s="16">
        <f>E5*3116</f>
        <v/>
      </c>
      <c r="L5" t="n">
        <v>0</v>
      </c>
    </row>
    <row r="6">
      <c r="A6" s="10" t="n">
        <v>3</v>
      </c>
      <c r="B6" s="11" t="inlineStr">
        <is>
          <t>Вакуумные пакеты для хранения, 15 шт</t>
        </is>
      </c>
      <c r="C6" s="12" t="inlineStr">
        <is>
          <t>B0GSZHLZ3B</t>
        </is>
      </c>
      <c r="D6" s="10" t="inlineStr">
        <is>
          <t>нет</t>
        </is>
      </c>
      <c r="E6" s="13" t="n">
        <v>1</v>
      </c>
      <c r="F6" s="14" t="n">
        <v>250</v>
      </c>
      <c r="G6" s="15" t="n">
        <v>32.5</v>
      </c>
      <c r="H6" s="16">
        <f>E6*F6*G6</f>
        <v/>
      </c>
      <c r="I6" s="15" t="n">
        <v>36.8</v>
      </c>
      <c r="J6" s="16">
        <f>E6*2756</f>
        <v/>
      </c>
      <c r="L6" t="n">
        <v>0</v>
      </c>
    </row>
    <row r="7">
      <c r="A7" s="10" t="n">
        <v>4</v>
      </c>
      <c r="B7" s="11" t="inlineStr">
        <is>
          <t>Набор кухонных ножей 8 предметов (нерж., подставка)</t>
        </is>
      </c>
      <c r="C7" s="12" t="inlineStr">
        <is>
          <t>B0GCJQ4Z51</t>
        </is>
      </c>
      <c r="D7" s="10" t="inlineStr">
        <is>
          <t>нет</t>
        </is>
      </c>
      <c r="E7" s="13" t="n">
        <v>1</v>
      </c>
      <c r="F7" s="14" t="n">
        <v>200</v>
      </c>
      <c r="G7" s="15" t="n">
        <v>31.6</v>
      </c>
      <c r="H7" s="16">
        <f>E7*F7*G7</f>
        <v/>
      </c>
      <c r="I7" s="15" t="n">
        <v>28.6</v>
      </c>
      <c r="J7" s="16">
        <f>E7*1717</f>
        <v/>
      </c>
      <c r="L7" t="n">
        <v>0</v>
      </c>
    </row>
    <row r="8">
      <c r="A8" s="10" t="n">
        <v>5</v>
      </c>
      <c r="B8" s="11" t="inlineStr">
        <is>
          <t>Стойка для ванной телескопическая 4-ярусная (нерж.)</t>
        </is>
      </c>
      <c r="C8" s="12" t="inlineStr">
        <is>
          <t>B0GZZ3VM69</t>
        </is>
      </c>
      <c r="D8" s="10" t="inlineStr">
        <is>
          <t>нет</t>
        </is>
      </c>
      <c r="E8" s="13" t="n">
        <v>1</v>
      </c>
      <c r="F8" s="14" t="n">
        <v>150</v>
      </c>
      <c r="G8" s="15" t="n">
        <v>39.6</v>
      </c>
      <c r="H8" s="16">
        <f>E8*F8*G8</f>
        <v/>
      </c>
      <c r="I8" s="15" t="n">
        <v>27.2</v>
      </c>
      <c r="J8" s="16">
        <f>E8*2451</f>
        <v/>
      </c>
      <c r="L8" t="n">
        <v>0</v>
      </c>
    </row>
    <row r="9">
      <c r="A9" s="10" t="n">
        <v>6</v>
      </c>
      <c r="B9" s="11" t="inlineStr">
        <is>
          <t>Мини-вентилятор ручной турбо, аккумуляторный</t>
        </is>
      </c>
      <c r="C9" s="12" t="inlineStr">
        <is>
          <t>B0GKMVTD6V</t>
        </is>
      </c>
      <c r="D9" s="10" t="inlineStr">
        <is>
          <t>да</t>
        </is>
      </c>
      <c r="E9" s="13" t="n">
        <v>0</v>
      </c>
      <c r="F9" s="14" t="n">
        <v>300</v>
      </c>
      <c r="G9" s="15" t="n">
        <v>23.5</v>
      </c>
      <c r="H9" s="16">
        <f>E9*F9*G9</f>
        <v/>
      </c>
      <c r="I9" s="15" t="n">
        <v>32</v>
      </c>
      <c r="J9" s="16">
        <f>E9*4797</f>
        <v/>
      </c>
      <c r="L9" t="n">
        <v>1</v>
      </c>
    </row>
    <row r="10">
      <c r="A10" s="10" t="n">
        <v>7</v>
      </c>
      <c r="B10" s="11" t="inlineStr">
        <is>
          <t>Вентилятор на шею безлопастной (носимый)</t>
        </is>
      </c>
      <c r="C10" s="12" t="inlineStr">
        <is>
          <t>B0GV2DHXWS</t>
        </is>
      </c>
      <c r="D10" s="10" t="inlineStr">
        <is>
          <t>да</t>
        </is>
      </c>
      <c r="E10" s="13" t="n">
        <v>0</v>
      </c>
      <c r="F10" s="14" t="n">
        <v>250</v>
      </c>
      <c r="G10" s="15" t="n">
        <v>29.2</v>
      </c>
      <c r="H10" s="16">
        <f>E10*F10*G10</f>
        <v/>
      </c>
      <c r="I10" s="15" t="n">
        <v>37</v>
      </c>
      <c r="J10" s="16">
        <f>E10*4439</f>
        <v/>
      </c>
      <c r="L10" t="n">
        <v>1</v>
      </c>
    </row>
    <row r="11">
      <c r="A11" s="10" t="n">
        <v>8</v>
      </c>
      <c r="B11" s="11" t="inlineStr">
        <is>
          <t>Вакуумные пакеты с беспроводным электронасосом (travel)</t>
        </is>
      </c>
      <c r="C11" s="12" t="inlineStr">
        <is>
          <t>B0GF7LLCL8</t>
        </is>
      </c>
      <c r="D11" s="10" t="inlineStr">
        <is>
          <t>нет</t>
        </is>
      </c>
      <c r="E11" s="13" t="n">
        <v>0</v>
      </c>
      <c r="F11" s="14" t="n">
        <v>200</v>
      </c>
      <c r="G11" s="15" t="n">
        <v>29.1</v>
      </c>
      <c r="H11" s="16">
        <f>E11*F11*G11</f>
        <v/>
      </c>
      <c r="I11" s="15" t="n">
        <v>31.1</v>
      </c>
      <c r="J11" s="16">
        <f>E11*1866</f>
        <v/>
      </c>
      <c r="L11" t="n">
        <v>0</v>
      </c>
    </row>
    <row r="12">
      <c r="A12" s="10" t="n">
        <v>9</v>
      </c>
      <c r="B12" s="11" t="inlineStr">
        <is>
          <t>Ковер 8x10 (240x300) бохо, для гостиной</t>
        </is>
      </c>
      <c r="C12" s="12" t="inlineStr">
        <is>
          <t>B0GL357H51</t>
        </is>
      </c>
      <c r="D12" s="10" t="inlineStr">
        <is>
          <t>нет</t>
        </is>
      </c>
      <c r="E12" s="13" t="n">
        <v>0</v>
      </c>
      <c r="F12" s="14" t="n">
        <v>100</v>
      </c>
      <c r="G12" s="15" t="n">
        <v>93</v>
      </c>
      <c r="H12" s="16">
        <f>E12*F12*G12</f>
        <v/>
      </c>
      <c r="I12" s="15" t="n">
        <v>76.2</v>
      </c>
      <c r="J12" s="16">
        <f>E12*4571</f>
        <v/>
      </c>
      <c r="L12" t="n">
        <v>0</v>
      </c>
    </row>
    <row r="13">
      <c r="A13" s="10" t="n">
        <v>10</v>
      </c>
      <c r="B13" s="11" t="inlineStr">
        <is>
          <t>Ручной пароочиститель под давлением (110°C)</t>
        </is>
      </c>
      <c r="C13" s="12" t="inlineStr">
        <is>
          <t>B0GQHGFFHC</t>
        </is>
      </c>
      <c r="D13" s="10" t="inlineStr">
        <is>
          <t>да</t>
        </is>
      </c>
      <c r="E13" s="13" t="n">
        <v>0</v>
      </c>
      <c r="F13" s="14" t="n">
        <v>120</v>
      </c>
      <c r="G13" s="15" t="n">
        <v>83.7</v>
      </c>
      <c r="H13" s="16">
        <f>E13*F13*G13</f>
        <v/>
      </c>
      <c r="I13" s="15" t="n">
        <v>75.90000000000001</v>
      </c>
      <c r="J13" s="16">
        <f>E13*6833</f>
        <v/>
      </c>
      <c r="L13" t="n">
        <v>1</v>
      </c>
    </row>
    <row r="15">
      <c r="B15" s="17" t="inlineStr">
        <is>
          <t>ИТОГ ЛИН-ЗАПУСКА (по включённым SKU)</t>
        </is>
      </c>
      <c r="H15" s="18" t="n"/>
    </row>
    <row r="16">
      <c r="B16" s="19" t="inlineStr">
        <is>
          <t>Включено SKU</t>
        </is>
      </c>
      <c r="H16" s="20">
        <f>SUM(E4:E13)</f>
        <v/>
      </c>
    </row>
    <row r="17">
      <c r="B17" s="19" t="inlineStr">
        <is>
          <t>Закупка (оборотный капитал), AED</t>
        </is>
      </c>
      <c r="H17" s="20">
        <f>SUM(H4:H13)</f>
        <v/>
      </c>
    </row>
    <row r="18">
      <c r="B18" s="19" t="inlineStr">
        <is>
          <t>Бюджет запуска, AED</t>
        </is>
      </c>
      <c r="H18" s="20">
        <f>(SUM(E4:E13)*(PHOTO+SAMPLES+PPC_SKU)+LOGI+IF(SUMPRODUCT(E4:E13,L4:L13)&gt;0,CERT,0))*(1+RESERVE)</f>
        <v/>
      </c>
    </row>
    <row r="19">
      <c r="B19" s="19" t="inlineStr">
        <is>
          <t>ИТОГО стартовые инвестиции, AED</t>
        </is>
      </c>
      <c r="H19" s="21">
        <f>H17+H18</f>
        <v/>
      </c>
    </row>
    <row r="20">
      <c r="B20" s="11" t="inlineStr">
        <is>
          <t>в USD</t>
        </is>
      </c>
      <c r="H20" s="22">
        <f>H19/USD_AED</f>
        <v/>
      </c>
    </row>
    <row r="21">
      <c r="B21" s="19" t="inlineStr">
        <is>
          <t>EBITDA/мес (полный разгон), AED</t>
        </is>
      </c>
      <c r="H21" s="20">
        <f>SUM(J4:J13)</f>
        <v/>
      </c>
    </row>
    <row r="22">
      <c r="B22" s="11" t="inlineStr">
        <is>
          <t>Прибыль/мес после налога 9%, AED</t>
        </is>
      </c>
      <c r="H22" s="23">
        <f>H21*(1-CIT)</f>
        <v/>
      </c>
    </row>
    <row r="23">
      <c r="B23" s="19" t="inlineStr">
        <is>
          <t>Окупаемость, мес</t>
        </is>
      </c>
      <c r="H23" s="24">
        <f>H19/(H21*(1-CIT))</f>
        <v/>
      </c>
    </row>
    <row r="24">
      <c r="B24" s="11" t="inlineStr">
        <is>
          <t>ROI за 12 мес</t>
        </is>
      </c>
      <c r="H24" s="25">
        <f>H21*(1-CIT)*12/H19</f>
        <v/>
      </c>
    </row>
  </sheetData>
  <mergeCells count="1">
    <mergeCell ref="A1:J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2026-07-09T11:34:34Z</dcterms:created>
  <dcterms:modified xmlns:dcterms="http://purl.org/dc/terms/" xmlns:xsi="http://www.w3.org/2001/XMLSchema-instance" xsi:type="dcterms:W3CDTF">2026-07-09T11:34:34Z</dcterms:modified>
</cp:coreProperties>
</file>