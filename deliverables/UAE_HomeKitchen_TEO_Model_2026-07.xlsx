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Модель_ТЭО" sheetId="2" state="visible" r:id="rId2"/>
    <sheet xmlns:r="http://schemas.openxmlformats.org/officeDocument/2006/relationships" name="Инвестиции" sheetId="3" state="visible" r:id="rId3"/>
    <sheet xmlns:r="http://schemas.openxmlformats.org/officeDocument/2006/relationships" name="Справка_FBA" sheetId="4" state="visible" r:id="rId4"/>
  </sheets>
  <definedNames>
    <definedName name="USD_AED">'Параметры'!$B$3</definedName>
    <definedName name="VAT">'Параметры'!$B$4</definedName>
    <definedName name="REF">'Параметры'!$B$5</definedName>
    <definedName name="DUTY">'Параметры'!$B$6</definedName>
    <definedName name="SEA">'Параметры'!$B$7</definedName>
    <definedName name="FRTKG">'Параметры'!$B$8</definedName>
    <definedName name="INBOUND">'Параметры'!$B$9</definedName>
    <definedName name="RET">'Параметры'!$B$10</definedName>
    <definedName name="MKT">'Параметры'!$B$11</definedName>
    <definedName name="PPC_S">'Параметры'!$B$12</definedName>
    <definedName name="COUP_S">'Параметры'!$B$13</definedName>
    <definedName name="PPC_L">'Параметры'!$B$14</definedName>
    <definedName name="COUP_L">'Параметры'!$B$15</definedName>
    <definedName name="UAE_MKT">'Параметры'!$B$16</definedName>
    <definedName name="SHARE">'Параметры'!$B$17</definedName>
    <definedName name="CIT">'Параметры'!$B$18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%"/>
    <numFmt numFmtId="166" formatCode="$#,##0"/>
    <numFmt numFmtId="167" formatCode="$#,##0.00"/>
    <numFmt numFmtId="168" formatCode="#,##0.0"/>
    <numFmt numFmtId="169" formatCode="0.0"/>
  </numFmts>
  <fonts count="9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1F4E78"/>
      <sz val="12"/>
    </font>
    <font>
      <b val="1"/>
      <color rgb="00FFFFFF"/>
    </font>
    <font>
      <color rgb="000563C1"/>
      <u val="single"/>
    </font>
    <font>
      <b val="1"/>
      <color rgb="00C00000"/>
    </font>
    <font>
      <b val="1"/>
      <color rgb="001F6E28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168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8" fontId="0" fillId="4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168" fontId="2" fillId="0" borderId="1" pivotButton="0" quotePrefix="0" xfId="0"/>
    <xf numFmtId="165" fontId="2" fillId="0" borderId="1" pivotButton="0" quotePrefix="0" xfId="0"/>
    <xf numFmtId="9" fontId="2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169" fontId="0" fillId="0" borderId="1" pivotButton="0" quotePrefix="0" xfId="0"/>
    <xf numFmtId="0" fontId="4" fillId="6" borderId="0" pivotButton="0" quotePrefix="0" xfId="0"/>
    <xf numFmtId="3" fontId="0" fillId="4" borderId="1" pivotButton="0" quotePrefix="0" xfId="0"/>
    <xf numFmtId="3" fontId="2" fillId="5" borderId="0" pivotButton="0" quotePrefix="0" xfId="0"/>
    <xf numFmtId="3" fontId="6" fillId="0" borderId="1" pivotButton="0" quotePrefix="0" xfId="0"/>
    <xf numFmtId="166" fontId="0" fillId="0" borderId="1" pivotButton="0" quotePrefix="0" xfId="0"/>
    <xf numFmtId="3" fontId="2" fillId="0" borderId="1" pivotButton="0" quotePrefix="0" xfId="0"/>
    <xf numFmtId="169" fontId="7" fillId="0" borderId="1" pivotButton="0" quotePrefix="0" xfId="0"/>
    <xf numFmtId="9" fontId="0" fillId="0" borderId="1" pivotButton="0" quotePrefix="0" xfId="0"/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mazon.ae/dp/B0GKMVTD6V" TargetMode="External" Id="rId1"/><Relationship Type="http://schemas.openxmlformats.org/officeDocument/2006/relationships/hyperlink" Target="https://www.alibaba.com/product-detail/Handheld-Portable-Turbo-Fan-High-Speed_1601030976021.html" TargetMode="External" Id="rId2"/><Relationship Type="http://schemas.openxmlformats.org/officeDocument/2006/relationships/hyperlink" Target="https://www.amazon.ae/dp/B0GV2DHXWS" TargetMode="External" Id="rId3"/><Relationship Type="http://schemas.openxmlformats.org/officeDocument/2006/relationships/hyperlink" Target="https://www.alibaba.com/showroom/portable-neck-fan.html" TargetMode="External" Id="rId4"/><Relationship Type="http://schemas.openxmlformats.org/officeDocument/2006/relationships/hyperlink" Target="https://www.amazon.ae/dp/B0GT8HK7LS" TargetMode="External" Id="rId5"/><Relationship Type="http://schemas.openxmlformats.org/officeDocument/2006/relationships/hyperlink" Target="https://www.alibaba.com/showroom/portable-air-conditioner.html" TargetMode="External" Id="rId6"/><Relationship Type="http://schemas.openxmlformats.org/officeDocument/2006/relationships/hyperlink" Target="https://www.amazon.ae/dp/B0GZVM23CF" TargetMode="External" Id="rId7"/><Relationship Type="http://schemas.openxmlformats.org/officeDocument/2006/relationships/hyperlink" Target="https://invitop.en.alibaba.com/productgrouplist-807063578/Air_Purifier.html" TargetMode="External" Id="rId8"/><Relationship Type="http://schemas.openxmlformats.org/officeDocument/2006/relationships/hyperlink" Target="https://www.amazon.ae/dp/B0H13ZY2W4" TargetMode="External" Id="rId9"/><Relationship Type="http://schemas.openxmlformats.org/officeDocument/2006/relationships/hyperlink" Target="https://www.alibaba.com/showroom/dehumidifier-hepa-air-purifier.html" TargetMode="External" Id="rId10"/><Relationship Type="http://schemas.openxmlformats.org/officeDocument/2006/relationships/hyperlink" Target="https://www.amazon.ae/dp/B0GQHGFFHC" TargetMode="External" Id="rId11"/><Relationship Type="http://schemas.openxmlformats.org/officeDocument/2006/relationships/hyperlink" Target="https://www.alibaba.com/supplier/handheld-pressurized-steam-cleaner.html" TargetMode="External" Id="rId12"/><Relationship Type="http://schemas.openxmlformats.org/officeDocument/2006/relationships/hyperlink" Target="https://www.amazon.ae/dp/B0GJ4NHH4L" TargetMode="External" Id="rId13"/><Relationship Type="http://schemas.openxmlformats.org/officeDocument/2006/relationships/hyperlink" Target="https://www.alibaba.com/showroom/garment-steamer.html" TargetMode="External" Id="rId14"/><Relationship Type="http://schemas.openxmlformats.org/officeDocument/2006/relationships/hyperlink" Target="https://www.amazon.ae/dp/B0GYF91BXB" TargetMode="External" Id="rId15"/><Relationship Type="http://schemas.openxmlformats.org/officeDocument/2006/relationships/hyperlink" Target="https://www.alibaba.com/showroom/furniture-lifting-straps.html" TargetMode="External" Id="rId16"/><Relationship Type="http://schemas.openxmlformats.org/officeDocument/2006/relationships/hyperlink" Target="https://www.amazon.ae/dp/B0GSZHLZ3B" TargetMode="External" Id="rId17"/><Relationship Type="http://schemas.openxmlformats.org/officeDocument/2006/relationships/hyperlink" Target="https://www.alibaba.com/showroom/jumbo-storage-bags.html" TargetMode="External" Id="rId18"/><Relationship Type="http://schemas.openxmlformats.org/officeDocument/2006/relationships/hyperlink" Target="https://www.amazon.ae/dp/B0GZZ3VM69" TargetMode="External" Id="rId19"/><Relationship Type="http://schemas.openxmlformats.org/officeDocument/2006/relationships/hyperlink" Target="https://www.alibaba.com/product-detail/Home-Tension-Pole-Shower-Caddy-4_1601279222567.html" TargetMode="External" Id="rId20"/><Relationship Type="http://schemas.openxmlformats.org/officeDocument/2006/relationships/hyperlink" Target="https://www.amazon.ae/dp/B0G5DSK3YF" TargetMode="External" Id="rId21"/><Relationship Type="http://schemas.openxmlformats.org/officeDocument/2006/relationships/hyperlink" Target="https://www.alibaba.com/showroom/laundry-basket-lid-hamper-handles-foldable.html" TargetMode="External" Id="rId22"/><Relationship Type="http://schemas.openxmlformats.org/officeDocument/2006/relationships/hyperlink" Target="https://www.amazon.ae/dp/B0GCJQ4Z51" TargetMode="External" Id="rId23"/><Relationship Type="http://schemas.openxmlformats.org/officeDocument/2006/relationships/hyperlink" Target="https://www.alibaba.com/product-detail/Manufacturer-Stainless-Steel-Kitchen-Knife-Set_1600116272141.html" TargetMode="External" Id="rId24"/><Relationship Type="http://schemas.openxmlformats.org/officeDocument/2006/relationships/hyperlink" Target="https://www.amazon.ae/dp/B0GF7LLCL8" TargetMode="External" Id="rId25"/><Relationship Type="http://schemas.openxmlformats.org/officeDocument/2006/relationships/hyperlink" Target="https://www.alibaba.com/showroom/jumbo-storage-bags.html" TargetMode="External" Id="rId26"/><Relationship Type="http://schemas.openxmlformats.org/officeDocument/2006/relationships/hyperlink" Target="https://www.amazon.ae/dp/B0GDTFFKYC" TargetMode="External" Id="rId27"/><Relationship Type="http://schemas.openxmlformats.org/officeDocument/2006/relationships/hyperlink" Target="https://www.alibaba.com/showroom/artificial-eucalyptus.html" TargetMode="External" Id="rId28"/><Relationship Type="http://schemas.openxmlformats.org/officeDocument/2006/relationships/hyperlink" Target="https://www.amazon.ae/dp/B0FZRGB6BN" TargetMode="External" Id="rId29"/><Relationship Type="http://schemas.openxmlformats.org/officeDocument/2006/relationships/hyperlink" Target="https://www.alibaba.com/product-detail/Executive-Ergonomic-Mesh-Office-Chair-Modern_1601237289919.html" TargetMode="External" Id="rId30"/><Relationship Type="http://schemas.openxmlformats.org/officeDocument/2006/relationships/hyperlink" Target="https://www.amazon.ae/dp/B0GXKMXLDC" TargetMode="External" Id="rId31"/><Relationship Type="http://schemas.openxmlformats.org/officeDocument/2006/relationships/hyperlink" Target="https://www.alibaba.com/product-detail/Professional-Mesh-Ergonomic-Executive-Office-Chair_1601252378443.html" TargetMode="External" Id="rId32"/><Relationship Type="http://schemas.openxmlformats.org/officeDocument/2006/relationships/hyperlink" Target="https://www.amazon.ae/dp/B0H2B94R5F" TargetMode="External" Id="rId33"/><Relationship Type="http://schemas.openxmlformats.org/officeDocument/2006/relationships/hyperlink" Target="https://www.alibaba.com/office-computer-chair-suppliers.html" TargetMode="External" Id="rId34"/><Relationship Type="http://schemas.openxmlformats.org/officeDocument/2006/relationships/hyperlink" Target="https://www.amazon.ae/dp/B0GN1P7DTT" TargetMode="External" Id="rId35"/><Relationship Type="http://schemas.openxmlformats.org/officeDocument/2006/relationships/hyperlink" Target="https://www.alibaba.com/office-chair-from-china-suppliers.html" TargetMode="External" Id="rId36"/><Relationship Type="http://schemas.openxmlformats.org/officeDocument/2006/relationships/hyperlink" Target="https://www.amazon.ae/dp/B0GL357H51" TargetMode="External" Id="rId37"/><Relationship Type="http://schemas.openxmlformats.org/officeDocument/2006/relationships/hyperlink" Target="https://www.alibaba.com/showroom/washable-area-rugs-8x10.html" TargetMode="External" Id="rId38"/><Relationship Type="http://schemas.openxmlformats.org/officeDocument/2006/relationships/hyperlink" Target="https://www.amazon.ae/dp/B0G1SX2D8H" TargetMode="External" Id="rId39"/><Relationship Type="http://schemas.openxmlformats.org/officeDocument/2006/relationships/hyperlink" Target="https://www.alibaba.com/product-detail/Office-Chair-Mat-for-Carpet-36x48_1601246040657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ПАРАМЕТРЫ МОДЕЛИ — редактируйте жёлтые ячейки, все расчёты пересчитаются автоматически</t>
        </is>
      </c>
    </row>
    <row r="2">
      <c r="A2" s="2" t="inlineStr">
        <is>
          <t>Параметр</t>
        </is>
      </c>
      <c r="B2" s="2" t="inlineStr">
        <is>
          <t>Значение</t>
        </is>
      </c>
    </row>
    <row r="3">
      <c r="A3" s="3" t="inlineStr">
        <is>
          <t>Курс USD→AED (фикс.)</t>
        </is>
      </c>
      <c r="B3" s="4" t="n">
        <v>3.6725</v>
      </c>
    </row>
    <row r="4">
      <c r="A4" s="3" t="inlineStr">
        <is>
          <t>НДС ОАЭ</t>
        </is>
      </c>
      <c r="B4" s="5" t="n">
        <v>0.05</v>
      </c>
    </row>
    <row r="5">
      <c r="A5" s="3" t="inlineStr">
        <is>
          <t>Referral fee (Home&amp;Kitchen &gt;50 AED)</t>
        </is>
      </c>
      <c r="B5" s="5" t="n">
        <v>0.15</v>
      </c>
    </row>
    <row r="6">
      <c r="A6" s="3" t="inlineStr">
        <is>
          <t>Таможенная пошлина ОАЭ (CIF)</t>
        </is>
      </c>
      <c r="B6" s="5" t="n">
        <v>0.05</v>
      </c>
    </row>
    <row r="7">
      <c r="A7" s="3" t="inlineStr">
        <is>
          <t>Фрахт море Китай→Джебель-Али, $/м³</t>
        </is>
      </c>
      <c r="B7" s="6" t="n">
        <v>165</v>
      </c>
    </row>
    <row r="8">
      <c r="A8" s="3" t="inlineStr">
        <is>
          <t>Фрахт минимум, $/кг</t>
        </is>
      </c>
      <c r="B8" s="7" t="n">
        <v>0.45</v>
      </c>
    </row>
    <row r="9">
      <c r="A9" s="3" t="inlineStr">
        <is>
          <t>Приёмка/prep на FBA, AED/шт</t>
        </is>
      </c>
      <c r="B9" s="8" t="n">
        <v>2</v>
      </c>
    </row>
    <row r="10">
      <c r="A10" s="3" t="inlineStr">
        <is>
          <t>Резерв на возвраты</t>
        </is>
      </c>
      <c r="B10" s="5" t="n">
        <v>0.02</v>
      </c>
    </row>
    <row r="11">
      <c r="A11" s="3" t="inlineStr">
        <is>
          <t>Маркетинг (внешний/бренд)</t>
        </is>
      </c>
      <c r="B11" s="5" t="n">
        <v>0.03</v>
      </c>
    </row>
    <row r="12">
      <c r="A12" s="3" t="inlineStr">
        <is>
          <t>PPC/реклама — рабочий режим</t>
        </is>
      </c>
      <c r="B12" s="5" t="n">
        <v>0.12</v>
      </c>
    </row>
    <row r="13">
      <c r="A13" s="3" t="inlineStr">
        <is>
          <t>Купон/скидка — рабочий режим</t>
        </is>
      </c>
      <c r="B13" s="5" t="n">
        <v>0.03</v>
      </c>
    </row>
    <row r="14">
      <c r="A14" s="3" t="inlineStr">
        <is>
          <t>PPC/реклама — ЗАПУСК (ТЗ)</t>
        </is>
      </c>
      <c r="B14" s="5" t="n">
        <v>0.35</v>
      </c>
    </row>
    <row r="15">
      <c r="A15" s="3" t="inlineStr">
        <is>
          <t>Купон/скидка — ЗАПУСК (ТЗ)</t>
        </is>
      </c>
      <c r="B15" s="5" t="n">
        <v>0.1</v>
      </c>
    </row>
    <row r="16">
      <c r="A16" s="3" t="inlineStr">
        <is>
          <t>Рынок ОАЭ как доля от объёма US</t>
        </is>
      </c>
      <c r="B16" s="5" t="n">
        <v>0.05</v>
      </c>
    </row>
    <row r="17">
      <c r="A17" s="3" t="inlineStr">
        <is>
          <t>Наш захват ниши в ОАЭ</t>
        </is>
      </c>
      <c r="B17" s="5" t="n">
        <v>0.3</v>
      </c>
    </row>
    <row r="18">
      <c r="A18" s="3" t="inlineStr">
        <is>
          <t>Налог на прибыль ОАЭ (&gt;375k AED)</t>
        </is>
      </c>
      <c r="B18" s="5" t="n">
        <v>0.09</v>
      </c>
    </row>
    <row r="20">
      <c r="A20" s="9" t="inlineStr">
        <is>
          <t>МЕТОДИКА:</t>
        </is>
      </c>
    </row>
    <row r="21">
      <c r="A21" s="3" t="inlineStr">
        <is>
          <t>• Источник спроса — новинки Amazon US (Home &amp; Kitchen + мебель/офисные кресла), отслеживание с 2026.</t>
        </is>
      </c>
    </row>
    <row r="22">
      <c r="A22" s="3" t="inlineStr">
        <is>
          <t>• Целевой рынок — Amazon.ae (ОАЭ), модель FBA. Цена ОАЭ = цена US × курс × наценка рынка (проверено по живым данным .ae).</t>
        </is>
      </c>
    </row>
    <row r="23">
      <c r="A23" s="3" t="inlineStr">
        <is>
          <t>• 'Рабочий режим' — устойчивая экономика после разгона; 'ЗАПУСК' — повышенная реклама/скидки первые 2-3 мес (по ТЗ: PPC 35%, купон 10%).</t>
        </is>
      </c>
    </row>
    <row r="24">
      <c r="A24" s="3" t="inlineStr">
        <is>
          <t>• FBA-сбор берётся из справочной таблицы (лист 'Справка_FBA'), поле редактируемое.</t>
        </is>
      </c>
    </row>
    <row r="25">
      <c r="A25" s="3" t="inlineStr">
        <is>
          <t>• EBITDA/шт = Чистая выручка (без НДС) − (Referral + FBA + PPC + Купон + Маркетинг + Возвраты) − Landed COGS.</t>
        </is>
      </c>
    </row>
    <row r="26">
      <c r="A26" s="3" t="inlineStr">
        <is>
          <t>• ROI = EBITDA/шт ÷ Landed COGS/шт. Маржа = EBITDA/шт ÷ Чистая выручка.</t>
        </is>
      </c>
    </row>
    <row r="27">
      <c r="A27" s="3" t="inlineStr">
        <is>
          <t>• FOB и объём — ориентировочные (подтвердить RFQ у 3-5 поставщиков Alibaba).</t>
        </is>
      </c>
    </row>
  </sheetData>
  <mergeCells count="9">
    <mergeCell ref="A24:F24"/>
    <mergeCell ref="A1:D1"/>
    <mergeCell ref="A23:F23"/>
    <mergeCell ref="A27:F27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20" customWidth="1" min="4" max="4"/>
    <col width="9" customWidth="1" min="5" max="5"/>
    <col width="11" customWidth="1" min="6" max="6"/>
    <col width="8" customWidth="1" min="7" max="7"/>
    <col width="9" customWidth="1" min="8" max="8"/>
    <col width="9" customWidth="1" min="9" max="9"/>
    <col width="10" customWidth="1" min="10" max="10"/>
    <col width="11" customWidth="1" min="11" max="11"/>
    <col width="9" customWidth="1" min="12" max="12"/>
    <col width="9" customWidth="1" min="13" max="13"/>
    <col width="11" customWidth="1" min="14" max="14"/>
    <col width="10" customWidth="1" min="15" max="15"/>
    <col width="9" customWidth="1" min="16" max="16"/>
    <col width="9" customWidth="1" min="17" max="17"/>
    <col width="10" customWidth="1" min="18" max="18"/>
    <col width="10" customWidth="1" min="19" max="19"/>
    <col width="9" customWidth="1" min="20" max="20"/>
    <col width="12" customWidth="1" min="21" max="21"/>
    <col width="12" customWidth="1" min="22" max="22"/>
    <col width="11" customWidth="1" min="23" max="23"/>
    <col width="10" customWidth="1" min="24" max="24"/>
    <col width="12" customWidth="1" min="25" max="25"/>
    <col width="11" customWidth="1" min="26" max="26"/>
    <col width="13" customWidth="1" min="27" max="27"/>
    <col width="11" customWidth="1" min="28" max="28"/>
    <col width="10" customWidth="1" min="29" max="29"/>
  </cols>
  <sheetData>
    <row r="1">
      <c r="A1" s="10" t="inlineStr">
        <is>
          <t>ТЕХНИКО-ЭКОНОМИЧЕСКОЕ ОБОСНОВАНИЕ — Amazon.ae (ОАЭ), FBA. Жёлтые/зелёные ячейки — ввод; серые — формулы.</t>
        </is>
      </c>
    </row>
    <row r="3">
      <c r="A3" s="11" t="inlineStr">
        <is>
          <t>№</t>
        </is>
      </c>
      <c r="B3" s="11" t="inlineStr">
        <is>
          <t>Товар</t>
        </is>
      </c>
      <c r="C3" s="11" t="inlineStr">
        <is>
          <t>ASIN (кликаб.)</t>
        </is>
      </c>
      <c r="D3" s="11" t="inlineStr">
        <is>
          <t>Категория</t>
        </is>
      </c>
      <c r="E3" s="11" t="inlineStr">
        <is>
          <t>Цена US, $</t>
        </is>
      </c>
      <c r="F3" s="11" t="inlineStr">
        <is>
          <t>Цена ОАЭ, AED</t>
        </is>
      </c>
      <c r="G3" s="11" t="inlineStr">
        <is>
          <t>Вес, кг</t>
        </is>
      </c>
      <c r="H3" s="11" t="inlineStr">
        <is>
          <t>Объём, м³</t>
        </is>
      </c>
      <c r="I3" s="11" t="inlineStr">
        <is>
          <t>FOB $/шт</t>
        </is>
      </c>
      <c r="J3" s="11" t="inlineStr">
        <is>
          <t>FBA AED/шт</t>
        </is>
      </c>
      <c r="K3" s="11" t="inlineStr">
        <is>
          <t>Продажи US/мес</t>
        </is>
      </c>
      <c r="L3" s="11" t="inlineStr">
        <is>
          <t>Фрахт $/шт</t>
        </is>
      </c>
      <c r="M3" s="11" t="inlineStr">
        <is>
          <t>Пошлина $</t>
        </is>
      </c>
      <c r="N3" s="11" t="inlineStr">
        <is>
          <t>Landed AED/шт</t>
        </is>
      </c>
      <c r="O3" s="11" t="inlineStr">
        <is>
          <t>Referral AED</t>
        </is>
      </c>
      <c r="P3" s="11" t="inlineStr">
        <is>
          <t>PPC AED</t>
        </is>
      </c>
      <c r="Q3" s="11" t="inlineStr">
        <is>
          <t>Купон AED</t>
        </is>
      </c>
      <c r="R3" s="11" t="inlineStr">
        <is>
          <t>Маркетинг AED</t>
        </is>
      </c>
      <c r="S3" s="11" t="inlineStr">
        <is>
          <t>Возвраты AED</t>
        </is>
      </c>
      <c r="T3" s="11" t="inlineStr">
        <is>
          <t>НДС AED</t>
        </is>
      </c>
      <c r="U3" s="11" t="inlineStr">
        <is>
          <t>Чист.выручка AED</t>
        </is>
      </c>
      <c r="V3" s="11" t="inlineStr">
        <is>
          <t>EBITDA/шт (режим)</t>
        </is>
      </c>
      <c r="W3" s="11" t="inlineStr">
        <is>
          <t>Маржа % (режим)</t>
        </is>
      </c>
      <c r="X3" s="11" t="inlineStr">
        <is>
          <t>ROI % (режим)</t>
        </is>
      </c>
      <c r="Y3" s="11" t="inlineStr">
        <is>
          <t>EBITDA/шт (запуск)</t>
        </is>
      </c>
      <c r="Z3" s="11" t="inlineStr">
        <is>
          <t>Маржа % (запуск)</t>
        </is>
      </c>
      <c r="AA3" s="11" t="inlineStr">
        <is>
          <t>Потенц. EBITDA/мес AED</t>
        </is>
      </c>
      <c r="AB3" s="11" t="inlineStr">
        <is>
          <t>Alibaba</t>
        </is>
      </c>
      <c r="AC3" s="11" t="inlineStr">
        <is>
          <t>Вердикт</t>
        </is>
      </c>
    </row>
    <row r="4">
      <c r="A4" s="12" t="n">
        <v>1</v>
      </c>
      <c r="B4" s="13" t="inlineStr">
        <is>
          <t>Мини-вентилятор ручной турбо, аккумуляторный</t>
        </is>
      </c>
      <c r="C4" s="14" t="inlineStr">
        <is>
          <t>B0GKMVTD6V</t>
        </is>
      </c>
      <c r="D4" s="13" t="inlineStr">
        <is>
          <t>Охлаждение/вентиляторы</t>
        </is>
      </c>
      <c r="E4" s="15" t="n">
        <v>25.28</v>
      </c>
      <c r="F4" s="16" t="n">
        <v>104</v>
      </c>
      <c r="G4" s="17" t="n">
        <v>0.15</v>
      </c>
      <c r="H4" s="18" t="n">
        <v>0.0003</v>
      </c>
      <c r="I4" s="15" t="n">
        <v>5.5</v>
      </c>
      <c r="J4" s="19" t="n">
        <v>7.2</v>
      </c>
      <c r="K4" s="16" t="n">
        <v>10000</v>
      </c>
      <c r="L4" s="20">
        <f>MAX(H4*SEA,G4*FRTKG)</f>
        <v/>
      </c>
      <c r="M4" s="20">
        <f>(I4+L4)*DUTY</f>
        <v/>
      </c>
      <c r="N4" s="21">
        <f>(I4+L4+M4)*USD_AED+INBOUND</f>
        <v/>
      </c>
      <c r="O4" s="21">
        <f>F4*REF</f>
        <v/>
      </c>
      <c r="P4" s="21">
        <f>F4*PPC_S</f>
        <v/>
      </c>
      <c r="Q4" s="21">
        <f>F4*COUP_S</f>
        <v/>
      </c>
      <c r="R4" s="21">
        <f>F4*MKT</f>
        <v/>
      </c>
      <c r="S4" s="21">
        <f>F4*RET</f>
        <v/>
      </c>
      <c r="T4" s="21">
        <f>F4-F4/(1+VAT)</f>
        <v/>
      </c>
      <c r="U4" s="21">
        <f>F4/(1+VAT)</f>
        <v/>
      </c>
      <c r="V4" s="22">
        <f>U4-(O4+J4+P4+Q4+R4+S4)-N4</f>
        <v/>
      </c>
      <c r="W4" s="23">
        <f>V4/U4</f>
        <v/>
      </c>
      <c r="X4" s="24">
        <f>V4/N4</f>
        <v/>
      </c>
      <c r="Y4" s="21">
        <f>U4-(O4+J4+F4*PPC_L+F4*COUP_L+R4+S4)-N4</f>
        <v/>
      </c>
      <c r="Z4" s="25">
        <f>Y4/U4</f>
        <v/>
      </c>
      <c r="AA4" s="26">
        <f>V4*K4*UAE_MKT*SHARE</f>
        <v/>
      </c>
      <c r="AB4" s="14" t="inlineStr">
        <is>
          <t>ссылка</t>
        </is>
      </c>
      <c r="AC4" s="12" t="inlineStr">
        <is>
          <t>ЗАПУСК</t>
        </is>
      </c>
    </row>
    <row r="5">
      <c r="A5" s="12" t="n">
        <v>2</v>
      </c>
      <c r="B5" s="13" t="inlineStr">
        <is>
          <t>Вентилятор на шею безлопастной (носимый)</t>
        </is>
      </c>
      <c r="C5" s="14" t="inlineStr">
        <is>
          <t>B0GV2DHXWS</t>
        </is>
      </c>
      <c r="D5" s="13" t="inlineStr">
        <is>
          <t>Охлаждение/вентиляторы</t>
        </is>
      </c>
      <c r="E5" s="15" t="n">
        <v>30.15</v>
      </c>
      <c r="F5" s="16" t="n">
        <v>124</v>
      </c>
      <c r="G5" s="17" t="n">
        <v>0.37</v>
      </c>
      <c r="H5" s="18" t="n">
        <v>0.0028</v>
      </c>
      <c r="I5" s="15" t="n">
        <v>6.6</v>
      </c>
      <c r="J5" s="19" t="n">
        <v>8.5</v>
      </c>
      <c r="K5" s="16" t="n">
        <v>8000</v>
      </c>
      <c r="L5" s="20">
        <f>MAX(H5*SEA,G5*FRTKG)</f>
        <v/>
      </c>
      <c r="M5" s="20">
        <f>(I5+L5)*DUTY</f>
        <v/>
      </c>
      <c r="N5" s="21">
        <f>(I5+L5+M5)*USD_AED+INBOUND</f>
        <v/>
      </c>
      <c r="O5" s="21">
        <f>F5*REF</f>
        <v/>
      </c>
      <c r="P5" s="21">
        <f>F5*PPC_S</f>
        <v/>
      </c>
      <c r="Q5" s="21">
        <f>F5*COUP_S</f>
        <v/>
      </c>
      <c r="R5" s="21">
        <f>F5*MKT</f>
        <v/>
      </c>
      <c r="S5" s="21">
        <f>F5*RET</f>
        <v/>
      </c>
      <c r="T5" s="21">
        <f>F5-F5/(1+VAT)</f>
        <v/>
      </c>
      <c r="U5" s="21">
        <f>F5/(1+VAT)</f>
        <v/>
      </c>
      <c r="V5" s="22">
        <f>U5-(O5+J5+P5+Q5+R5+S5)-N5</f>
        <v/>
      </c>
      <c r="W5" s="23">
        <f>V5/U5</f>
        <v/>
      </c>
      <c r="X5" s="24">
        <f>V5/N5</f>
        <v/>
      </c>
      <c r="Y5" s="21">
        <f>U5-(O5+J5+F5*PPC_L+F5*COUP_L+R5+S5)-N5</f>
        <v/>
      </c>
      <c r="Z5" s="25">
        <f>Y5/U5</f>
        <v/>
      </c>
      <c r="AA5" s="26">
        <f>V5*K5*UAE_MKT*SHARE</f>
        <v/>
      </c>
      <c r="AB5" s="14" t="inlineStr">
        <is>
          <t>ссылка</t>
        </is>
      </c>
      <c r="AC5" s="12" t="inlineStr">
        <is>
          <t>ЗАПУСК</t>
        </is>
      </c>
    </row>
    <row r="6">
      <c r="A6" s="12" t="n">
        <v>3</v>
      </c>
      <c r="B6" s="13" t="inlineStr">
        <is>
          <t>Портативный кондиционер/охладитель воздуха</t>
        </is>
      </c>
      <c r="C6" s="14" t="inlineStr">
        <is>
          <t>B0GT8HK7LS</t>
        </is>
      </c>
      <c r="D6" s="13" t="inlineStr">
        <is>
          <t>Охлаждение/вентиляторы</t>
        </is>
      </c>
      <c r="E6" s="15" t="n">
        <v>54.24</v>
      </c>
      <c r="F6" s="16" t="n">
        <v>249</v>
      </c>
      <c r="G6" s="17" t="n">
        <v>1.01</v>
      </c>
      <c r="H6" s="18" t="n">
        <v>0.0086</v>
      </c>
      <c r="I6" s="15" t="n">
        <v>15.39</v>
      </c>
      <c r="J6" s="19" t="n">
        <v>14.5</v>
      </c>
      <c r="K6" s="16" t="n">
        <v>4000</v>
      </c>
      <c r="L6" s="20">
        <f>MAX(H6*SEA,G6*FRTKG)</f>
        <v/>
      </c>
      <c r="M6" s="20">
        <f>(I6+L6)*DUTY</f>
        <v/>
      </c>
      <c r="N6" s="21">
        <f>(I6+L6+M6)*USD_AED+INBOUND</f>
        <v/>
      </c>
      <c r="O6" s="21">
        <f>F6*REF</f>
        <v/>
      </c>
      <c r="P6" s="21">
        <f>F6*PPC_S</f>
        <v/>
      </c>
      <c r="Q6" s="21">
        <f>F6*COUP_S</f>
        <v/>
      </c>
      <c r="R6" s="21">
        <f>F6*MKT</f>
        <v/>
      </c>
      <c r="S6" s="21">
        <f>F6*RET</f>
        <v/>
      </c>
      <c r="T6" s="21">
        <f>F6-F6/(1+VAT)</f>
        <v/>
      </c>
      <c r="U6" s="21">
        <f>F6/(1+VAT)</f>
        <v/>
      </c>
      <c r="V6" s="22">
        <f>U6-(O6+J6+P6+Q6+R6+S6)-N6</f>
        <v/>
      </c>
      <c r="W6" s="23">
        <f>V6/U6</f>
        <v/>
      </c>
      <c r="X6" s="24">
        <f>V6/N6</f>
        <v/>
      </c>
      <c r="Y6" s="21">
        <f>U6-(O6+J6+F6*PPC_L+F6*COUP_L+R6+S6)-N6</f>
        <v/>
      </c>
      <c r="Z6" s="25">
        <f>Y6/U6</f>
        <v/>
      </c>
      <c r="AA6" s="26">
        <f>V6*K6*UAE_MKT*SHARE</f>
        <v/>
      </c>
      <c r="AB6" s="14" t="inlineStr">
        <is>
          <t>ссылка</t>
        </is>
      </c>
      <c r="AC6" s="12" t="inlineStr">
        <is>
          <t>ЗАПУСК</t>
        </is>
      </c>
    </row>
    <row r="7">
      <c r="A7" s="12" t="n">
        <v>4</v>
      </c>
      <c r="B7" s="13" t="inlineStr">
        <is>
          <t>Очиститель воздуха для дома (HEPA), большая комната</t>
        </is>
      </c>
      <c r="C7" s="14" t="inlineStr">
        <is>
          <t>B0GZVM23CF</t>
        </is>
      </c>
      <c r="D7" s="13" t="inlineStr">
        <is>
          <t>Климат/воздух</t>
        </is>
      </c>
      <c r="E7" s="15" t="n">
        <v>89.70999999999999</v>
      </c>
      <c r="F7" s="16" t="n">
        <v>369</v>
      </c>
      <c r="G7" s="17" t="n">
        <v>3.13</v>
      </c>
      <c r="H7" s="18" t="n">
        <v>0.0257</v>
      </c>
      <c r="I7" s="15" t="n">
        <v>25.2</v>
      </c>
      <c r="J7" s="19" t="n">
        <v>18.5</v>
      </c>
      <c r="K7" s="16" t="n">
        <v>8000</v>
      </c>
      <c r="L7" s="20">
        <f>MAX(H7*SEA,G7*FRTKG)</f>
        <v/>
      </c>
      <c r="M7" s="20">
        <f>(I7+L7)*DUTY</f>
        <v/>
      </c>
      <c r="N7" s="21">
        <f>(I7+L7+M7)*USD_AED+INBOUND</f>
        <v/>
      </c>
      <c r="O7" s="21">
        <f>F7*REF</f>
        <v/>
      </c>
      <c r="P7" s="21">
        <f>F7*PPC_S</f>
        <v/>
      </c>
      <c r="Q7" s="21">
        <f>F7*COUP_S</f>
        <v/>
      </c>
      <c r="R7" s="21">
        <f>F7*MKT</f>
        <v/>
      </c>
      <c r="S7" s="21">
        <f>F7*RET</f>
        <v/>
      </c>
      <c r="T7" s="21">
        <f>F7-F7/(1+VAT)</f>
        <v/>
      </c>
      <c r="U7" s="21">
        <f>F7/(1+VAT)</f>
        <v/>
      </c>
      <c r="V7" s="22">
        <f>U7-(O7+J7+P7+Q7+R7+S7)-N7</f>
        <v/>
      </c>
      <c r="W7" s="23">
        <f>V7/U7</f>
        <v/>
      </c>
      <c r="X7" s="24">
        <f>V7/N7</f>
        <v/>
      </c>
      <c r="Y7" s="21">
        <f>U7-(O7+J7+F7*PPC_L+F7*COUP_L+R7+S7)-N7</f>
        <v/>
      </c>
      <c r="Z7" s="25">
        <f>Y7/U7</f>
        <v/>
      </c>
      <c r="AA7" s="26">
        <f>V7*K7*UAE_MKT*SHARE</f>
        <v/>
      </c>
      <c r="AB7" s="14" t="inlineStr">
        <is>
          <t>ссылка</t>
        </is>
      </c>
      <c r="AC7" s="12" t="inlineStr">
        <is>
          <t>ЗАПУСК</t>
        </is>
      </c>
    </row>
    <row r="8">
      <c r="A8" s="12" t="n">
        <v>5</v>
      </c>
      <c r="B8" s="13" t="inlineStr">
        <is>
          <t>Осушитель воздуха для дома (~93 м²)</t>
        </is>
      </c>
      <c r="C8" s="14" t="inlineStr">
        <is>
          <t>B0H13ZY2W4</t>
        </is>
      </c>
      <c r="D8" s="13" t="inlineStr">
        <is>
          <t>Климат/воздух</t>
        </is>
      </c>
      <c r="E8" s="15" t="n">
        <v>59.32</v>
      </c>
      <c r="F8" s="16" t="n">
        <v>244</v>
      </c>
      <c r="G8" s="17" t="n">
        <v>2.72</v>
      </c>
      <c r="H8" s="18" t="n">
        <v>0.0159</v>
      </c>
      <c r="I8" s="15" t="n">
        <v>16.8</v>
      </c>
      <c r="J8" s="19" t="n">
        <v>16.5</v>
      </c>
      <c r="K8" s="16" t="n">
        <v>4000</v>
      </c>
      <c r="L8" s="20">
        <f>MAX(H8*SEA,G8*FRTKG)</f>
        <v/>
      </c>
      <c r="M8" s="20">
        <f>(I8+L8)*DUTY</f>
        <v/>
      </c>
      <c r="N8" s="21">
        <f>(I8+L8+M8)*USD_AED+INBOUND</f>
        <v/>
      </c>
      <c r="O8" s="21">
        <f>F8*REF</f>
        <v/>
      </c>
      <c r="P8" s="21">
        <f>F8*PPC_S</f>
        <v/>
      </c>
      <c r="Q8" s="21">
        <f>F8*COUP_S</f>
        <v/>
      </c>
      <c r="R8" s="21">
        <f>F8*MKT</f>
        <v/>
      </c>
      <c r="S8" s="21">
        <f>F8*RET</f>
        <v/>
      </c>
      <c r="T8" s="21">
        <f>F8-F8/(1+VAT)</f>
        <v/>
      </c>
      <c r="U8" s="21">
        <f>F8/(1+VAT)</f>
        <v/>
      </c>
      <c r="V8" s="22">
        <f>U8-(O8+J8+P8+Q8+R8+S8)-N8</f>
        <v/>
      </c>
      <c r="W8" s="23">
        <f>V8/U8</f>
        <v/>
      </c>
      <c r="X8" s="24">
        <f>V8/N8</f>
        <v/>
      </c>
      <c r="Y8" s="21">
        <f>U8-(O8+J8+F8*PPC_L+F8*COUP_L+R8+S8)-N8</f>
        <v/>
      </c>
      <c r="Z8" s="25">
        <f>Y8/U8</f>
        <v/>
      </c>
      <c r="AA8" s="26">
        <f>V8*K8*UAE_MKT*SHARE</f>
        <v/>
      </c>
      <c r="AB8" s="14" t="inlineStr">
        <is>
          <t>ссылка</t>
        </is>
      </c>
      <c r="AC8" s="12" t="inlineStr">
        <is>
          <t>ЗАПУСК</t>
        </is>
      </c>
    </row>
    <row r="9">
      <c r="A9" s="12" t="n">
        <v>6</v>
      </c>
      <c r="B9" s="13" t="inlineStr">
        <is>
          <t>Ручной пароочиститель под давлением (110°C)</t>
        </is>
      </c>
      <c r="C9" s="14" t="inlineStr">
        <is>
          <t>B0GQHGFFHC</t>
        </is>
      </c>
      <c r="D9" s="13" t="inlineStr">
        <is>
          <t>Уборка/бытовая техника</t>
        </is>
      </c>
      <c r="E9" s="15" t="n">
        <v>70.26000000000001</v>
      </c>
      <c r="F9" s="16" t="n">
        <v>289</v>
      </c>
      <c r="G9" s="17" t="n">
        <v>1.82</v>
      </c>
      <c r="H9" s="18" t="n">
        <v>0.009599999999999999</v>
      </c>
      <c r="I9" s="15" t="n">
        <v>19.6</v>
      </c>
      <c r="J9" s="19" t="n">
        <v>14.5</v>
      </c>
      <c r="K9" s="16" t="n">
        <v>6000</v>
      </c>
      <c r="L9" s="20">
        <f>MAX(H9*SEA,G9*FRTKG)</f>
        <v/>
      </c>
      <c r="M9" s="20">
        <f>(I9+L9)*DUTY</f>
        <v/>
      </c>
      <c r="N9" s="21">
        <f>(I9+L9+M9)*USD_AED+INBOUND</f>
        <v/>
      </c>
      <c r="O9" s="21">
        <f>F9*REF</f>
        <v/>
      </c>
      <c r="P9" s="21">
        <f>F9*PPC_S</f>
        <v/>
      </c>
      <c r="Q9" s="21">
        <f>F9*COUP_S</f>
        <v/>
      </c>
      <c r="R9" s="21">
        <f>F9*MKT</f>
        <v/>
      </c>
      <c r="S9" s="21">
        <f>F9*RET</f>
        <v/>
      </c>
      <c r="T9" s="21">
        <f>F9-F9/(1+VAT)</f>
        <v/>
      </c>
      <c r="U9" s="21">
        <f>F9/(1+VAT)</f>
        <v/>
      </c>
      <c r="V9" s="22">
        <f>U9-(O9+J9+P9+Q9+R9+S9)-N9</f>
        <v/>
      </c>
      <c r="W9" s="23">
        <f>V9/U9</f>
        <v/>
      </c>
      <c r="X9" s="24">
        <f>V9/N9</f>
        <v/>
      </c>
      <c r="Y9" s="21">
        <f>U9-(O9+J9+F9*PPC_L+F9*COUP_L+R9+S9)-N9</f>
        <v/>
      </c>
      <c r="Z9" s="25">
        <f>Y9/U9</f>
        <v/>
      </c>
      <c r="AA9" s="26">
        <f>V9*K9*UAE_MKT*SHARE</f>
        <v/>
      </c>
      <c r="AB9" s="14" t="inlineStr">
        <is>
          <t>ссылка</t>
        </is>
      </c>
      <c r="AC9" s="12" t="inlineStr">
        <is>
          <t>ЗАПУСК</t>
        </is>
      </c>
    </row>
    <row r="10">
      <c r="A10" s="12" t="n">
        <v>7</v>
      </c>
      <c r="B10" s="13" t="inlineStr">
        <is>
          <t>Отпариватель для одежды 1000W портативный</t>
        </is>
      </c>
      <c r="C10" s="14" t="inlineStr">
        <is>
          <t>B0GJ4NHH4L</t>
        </is>
      </c>
      <c r="D10" s="13" t="inlineStr">
        <is>
          <t>Уборка/бытовая техника</t>
        </is>
      </c>
      <c r="E10" s="15" t="n">
        <v>49.6</v>
      </c>
      <c r="F10" s="16" t="n">
        <v>204</v>
      </c>
      <c r="G10" s="17" t="n">
        <v>0.99</v>
      </c>
      <c r="H10" s="18" t="n">
        <v>0.003</v>
      </c>
      <c r="I10" s="15" t="n">
        <v>13.99</v>
      </c>
      <c r="J10" s="19" t="n">
        <v>11</v>
      </c>
      <c r="K10" s="16" t="n">
        <v>4000</v>
      </c>
      <c r="L10" s="20">
        <f>MAX(H10*SEA,G10*FRTKG)</f>
        <v/>
      </c>
      <c r="M10" s="20">
        <f>(I10+L10)*DUTY</f>
        <v/>
      </c>
      <c r="N10" s="21">
        <f>(I10+L10+M10)*USD_AED+INBOUND</f>
        <v/>
      </c>
      <c r="O10" s="21">
        <f>F10*REF</f>
        <v/>
      </c>
      <c r="P10" s="21">
        <f>F10*PPC_S</f>
        <v/>
      </c>
      <c r="Q10" s="21">
        <f>F10*COUP_S</f>
        <v/>
      </c>
      <c r="R10" s="21">
        <f>F10*MKT</f>
        <v/>
      </c>
      <c r="S10" s="21">
        <f>F10*RET</f>
        <v/>
      </c>
      <c r="T10" s="21">
        <f>F10-F10/(1+VAT)</f>
        <v/>
      </c>
      <c r="U10" s="21">
        <f>F10/(1+VAT)</f>
        <v/>
      </c>
      <c r="V10" s="22">
        <f>U10-(O10+J10+P10+Q10+R10+S10)-N10</f>
        <v/>
      </c>
      <c r="W10" s="23">
        <f>V10/U10</f>
        <v/>
      </c>
      <c r="X10" s="24">
        <f>V10/N10</f>
        <v/>
      </c>
      <c r="Y10" s="21">
        <f>U10-(O10+J10+F10*PPC_L+F10*COUP_L+R10+S10)-N10</f>
        <v/>
      </c>
      <c r="Z10" s="25">
        <f>Y10/U10</f>
        <v/>
      </c>
      <c r="AA10" s="26">
        <f>V10*K10*UAE_MKT*SHARE</f>
        <v/>
      </c>
      <c r="AB10" s="14" t="inlineStr">
        <is>
          <t>ссылка</t>
        </is>
      </c>
      <c r="AC10" s="12" t="inlineStr">
        <is>
          <t>ЗАПУСК</t>
        </is>
      </c>
    </row>
    <row r="11">
      <c r="A11" s="12" t="n">
        <v>8</v>
      </c>
      <c r="B11" s="13" t="inlineStr">
        <is>
          <t>Ремни для переноски мебели (плечевые), 2 чел.</t>
        </is>
      </c>
      <c r="C11" s="14" t="inlineStr">
        <is>
          <t>B0GYF91BXB</t>
        </is>
      </c>
      <c r="D11" s="13" t="inlineStr">
        <is>
          <t>Хранение/организация</t>
        </is>
      </c>
      <c r="E11" s="15" t="n">
        <v>30.15</v>
      </c>
      <c r="F11" s="16" t="n">
        <v>124</v>
      </c>
      <c r="G11" s="17" t="n">
        <v>1.84</v>
      </c>
      <c r="H11" s="18" t="n">
        <v>0.0072</v>
      </c>
      <c r="I11" s="15" t="n">
        <v>6</v>
      </c>
      <c r="J11" s="19" t="n">
        <v>14.5</v>
      </c>
      <c r="K11" s="16" t="n">
        <v>30000</v>
      </c>
      <c r="L11" s="20">
        <f>MAX(H11*SEA,G11*FRTKG)</f>
        <v/>
      </c>
      <c r="M11" s="20">
        <f>(I11+L11)*DUTY</f>
        <v/>
      </c>
      <c r="N11" s="21">
        <f>(I11+L11+M11)*USD_AED+INBOUND</f>
        <v/>
      </c>
      <c r="O11" s="21">
        <f>F11*REF</f>
        <v/>
      </c>
      <c r="P11" s="21">
        <f>F11*PPC_S</f>
        <v/>
      </c>
      <c r="Q11" s="21">
        <f>F11*COUP_S</f>
        <v/>
      </c>
      <c r="R11" s="21">
        <f>F11*MKT</f>
        <v/>
      </c>
      <c r="S11" s="21">
        <f>F11*RET</f>
        <v/>
      </c>
      <c r="T11" s="21">
        <f>F11-F11/(1+VAT)</f>
        <v/>
      </c>
      <c r="U11" s="21">
        <f>F11/(1+VAT)</f>
        <v/>
      </c>
      <c r="V11" s="22">
        <f>U11-(O11+J11+P11+Q11+R11+S11)-N11</f>
        <v/>
      </c>
      <c r="W11" s="23">
        <f>V11/U11</f>
        <v/>
      </c>
      <c r="X11" s="24">
        <f>V11/N11</f>
        <v/>
      </c>
      <c r="Y11" s="21">
        <f>U11-(O11+J11+F11*PPC_L+F11*COUP_L+R11+S11)-N11</f>
        <v/>
      </c>
      <c r="Z11" s="25">
        <f>Y11/U11</f>
        <v/>
      </c>
      <c r="AA11" s="26">
        <f>V11*K11*UAE_MKT*SHARE</f>
        <v/>
      </c>
      <c r="AB11" s="14" t="inlineStr">
        <is>
          <t>ссылка</t>
        </is>
      </c>
      <c r="AC11" s="12" t="inlineStr">
        <is>
          <t>ЗАПУСК</t>
        </is>
      </c>
    </row>
    <row r="12">
      <c r="A12" s="12" t="n">
        <v>9</v>
      </c>
      <c r="B12" s="13" t="inlineStr">
        <is>
          <t>Вакуумные пакеты для хранения, 15 шт</t>
        </is>
      </c>
      <c r="C12" s="14" t="inlineStr">
        <is>
          <t>B0GSZHLZ3B</t>
        </is>
      </c>
      <c r="D12" s="13" t="inlineStr">
        <is>
          <t>Хранение/организация</t>
        </is>
      </c>
      <c r="E12" s="15" t="n">
        <v>33.79</v>
      </c>
      <c r="F12" s="16" t="n">
        <v>139</v>
      </c>
      <c r="G12" s="17" t="n">
        <v>1.18</v>
      </c>
      <c r="H12" s="18" t="n">
        <v>0.0067</v>
      </c>
      <c r="I12" s="15" t="n">
        <v>6.8</v>
      </c>
      <c r="J12" s="19" t="n">
        <v>14.5</v>
      </c>
      <c r="K12" s="16" t="n">
        <v>5000</v>
      </c>
      <c r="L12" s="20">
        <f>MAX(H12*SEA,G12*FRTKG)</f>
        <v/>
      </c>
      <c r="M12" s="20">
        <f>(I12+L12)*DUTY</f>
        <v/>
      </c>
      <c r="N12" s="21">
        <f>(I12+L12+M12)*USD_AED+INBOUND</f>
        <v/>
      </c>
      <c r="O12" s="21">
        <f>F12*REF</f>
        <v/>
      </c>
      <c r="P12" s="21">
        <f>F12*PPC_S</f>
        <v/>
      </c>
      <c r="Q12" s="21">
        <f>F12*COUP_S</f>
        <v/>
      </c>
      <c r="R12" s="21">
        <f>F12*MKT</f>
        <v/>
      </c>
      <c r="S12" s="21">
        <f>F12*RET</f>
        <v/>
      </c>
      <c r="T12" s="21">
        <f>F12-F12/(1+VAT)</f>
        <v/>
      </c>
      <c r="U12" s="21">
        <f>F12/(1+VAT)</f>
        <v/>
      </c>
      <c r="V12" s="22">
        <f>U12-(O12+J12+P12+Q12+R12+S12)-N12</f>
        <v/>
      </c>
      <c r="W12" s="23">
        <f>V12/U12</f>
        <v/>
      </c>
      <c r="X12" s="24">
        <f>V12/N12</f>
        <v/>
      </c>
      <c r="Y12" s="21">
        <f>U12-(O12+J12+F12*PPC_L+F12*COUP_L+R12+S12)-N12</f>
        <v/>
      </c>
      <c r="Z12" s="25">
        <f>Y12/U12</f>
        <v/>
      </c>
      <c r="AA12" s="26">
        <f>V12*K12*UAE_MKT*SHARE</f>
        <v/>
      </c>
      <c r="AB12" s="14" t="inlineStr">
        <is>
          <t>ссылка</t>
        </is>
      </c>
      <c r="AC12" s="12" t="inlineStr">
        <is>
          <t>ЗАПУСК</t>
        </is>
      </c>
    </row>
    <row r="13">
      <c r="A13" s="12" t="n">
        <v>10</v>
      </c>
      <c r="B13" s="13" t="inlineStr">
        <is>
          <t>Стойка для ванной телескопическая 4-ярусная (нерж.)</t>
        </is>
      </c>
      <c r="C13" s="14" t="inlineStr">
        <is>
          <t>B0GZZ3VM69</t>
        </is>
      </c>
      <c r="D13" s="13" t="inlineStr">
        <is>
          <t>Хранение/организация</t>
        </is>
      </c>
      <c r="E13" s="15" t="n">
        <v>35.72</v>
      </c>
      <c r="F13" s="16" t="n">
        <v>164</v>
      </c>
      <c r="G13" s="17" t="n">
        <v>2.94</v>
      </c>
      <c r="H13" s="18" t="n">
        <v>0.0154</v>
      </c>
      <c r="I13" s="15" t="n">
        <v>7.2</v>
      </c>
      <c r="J13" s="19" t="n">
        <v>32</v>
      </c>
      <c r="K13" s="16" t="n">
        <v>6000</v>
      </c>
      <c r="L13" s="20">
        <f>MAX(H13*SEA,G13*FRTKG)</f>
        <v/>
      </c>
      <c r="M13" s="20">
        <f>(I13+L13)*DUTY</f>
        <v/>
      </c>
      <c r="N13" s="21">
        <f>(I13+L13+M13)*USD_AED+INBOUND</f>
        <v/>
      </c>
      <c r="O13" s="21">
        <f>F13*REF</f>
        <v/>
      </c>
      <c r="P13" s="21">
        <f>F13*PPC_S</f>
        <v/>
      </c>
      <c r="Q13" s="21">
        <f>F13*COUP_S</f>
        <v/>
      </c>
      <c r="R13" s="21">
        <f>F13*MKT</f>
        <v/>
      </c>
      <c r="S13" s="21">
        <f>F13*RET</f>
        <v/>
      </c>
      <c r="T13" s="21">
        <f>F13-F13/(1+VAT)</f>
        <v/>
      </c>
      <c r="U13" s="21">
        <f>F13/(1+VAT)</f>
        <v/>
      </c>
      <c r="V13" s="22">
        <f>U13-(O13+J13+P13+Q13+R13+S13)-N13</f>
        <v/>
      </c>
      <c r="W13" s="23">
        <f>V13/U13</f>
        <v/>
      </c>
      <c r="X13" s="24">
        <f>V13/N13</f>
        <v/>
      </c>
      <c r="Y13" s="21">
        <f>U13-(O13+J13+F13*PPC_L+F13*COUP_L+R13+S13)-N13</f>
        <v/>
      </c>
      <c r="Z13" s="25">
        <f>Y13/U13</f>
        <v/>
      </c>
      <c r="AA13" s="26">
        <f>V13*K13*UAE_MKT*SHARE</f>
        <v/>
      </c>
      <c r="AB13" s="14" t="inlineStr">
        <is>
          <t>ссылка</t>
        </is>
      </c>
      <c r="AC13" s="12" t="inlineStr">
        <is>
          <t>ЗАПУСК</t>
        </is>
      </c>
    </row>
    <row r="14">
      <c r="A14" s="12" t="n">
        <v>11</v>
      </c>
      <c r="B14" s="13" t="inlineStr">
        <is>
          <t>Корзина для белья с крышкой, складная 100 л</t>
        </is>
      </c>
      <c r="C14" s="14" t="inlineStr">
        <is>
          <t>B0G5DSK3YF</t>
        </is>
      </c>
      <c r="D14" s="13" t="inlineStr">
        <is>
          <t>Хранение/организация</t>
        </is>
      </c>
      <c r="E14" s="15" t="n">
        <v>19.94</v>
      </c>
      <c r="F14" s="16" t="n">
        <v>82</v>
      </c>
      <c r="G14" s="17" t="n">
        <v>1.12</v>
      </c>
      <c r="H14" s="18" t="n">
        <v>0.0061</v>
      </c>
      <c r="I14" s="15" t="n">
        <v>4</v>
      </c>
      <c r="J14" s="19" t="n">
        <v>14.5</v>
      </c>
      <c r="K14" s="16" t="n">
        <v>5000</v>
      </c>
      <c r="L14" s="20">
        <f>MAX(H14*SEA,G14*FRTKG)</f>
        <v/>
      </c>
      <c r="M14" s="20">
        <f>(I14+L14)*DUTY</f>
        <v/>
      </c>
      <c r="N14" s="21">
        <f>(I14+L14+M14)*USD_AED+INBOUND</f>
        <v/>
      </c>
      <c r="O14" s="21">
        <f>F14*REF</f>
        <v/>
      </c>
      <c r="P14" s="21">
        <f>F14*PPC_S</f>
        <v/>
      </c>
      <c r="Q14" s="21">
        <f>F14*COUP_S</f>
        <v/>
      </c>
      <c r="R14" s="21">
        <f>F14*MKT</f>
        <v/>
      </c>
      <c r="S14" s="21">
        <f>F14*RET</f>
        <v/>
      </c>
      <c r="T14" s="21">
        <f>F14-F14/(1+VAT)</f>
        <v/>
      </c>
      <c r="U14" s="21">
        <f>F14/(1+VAT)</f>
        <v/>
      </c>
      <c r="V14" s="22">
        <f>U14-(O14+J14+P14+Q14+R14+S14)-N14</f>
        <v/>
      </c>
      <c r="W14" s="23">
        <f>V14/U14</f>
        <v/>
      </c>
      <c r="X14" s="24">
        <f>V14/N14</f>
        <v/>
      </c>
      <c r="Y14" s="21">
        <f>U14-(O14+J14+F14*PPC_L+F14*COUP_L+R14+S14)-N14</f>
        <v/>
      </c>
      <c r="Z14" s="25">
        <f>Y14/U14</f>
        <v/>
      </c>
      <c r="AA14" s="26">
        <f>V14*K14*UAE_MKT*SHARE</f>
        <v/>
      </c>
      <c r="AB14" s="14" t="inlineStr">
        <is>
          <t>ссылка</t>
        </is>
      </c>
      <c r="AC14" s="12" t="inlineStr">
        <is>
          <t>ЗАПУСК</t>
        </is>
      </c>
    </row>
    <row r="15">
      <c r="A15" s="12" t="n">
        <v>12</v>
      </c>
      <c r="B15" s="13" t="inlineStr">
        <is>
          <t>Набор кухонных ножей 8 предметов (нерж., подставка)</t>
        </is>
      </c>
      <c r="C15" s="14" t="inlineStr">
        <is>
          <t>B0GCJQ4Z51</t>
        </is>
      </c>
      <c r="D15" s="13" t="inlineStr">
        <is>
          <t>Кухня</t>
        </is>
      </c>
      <c r="E15" s="15" t="n">
        <v>30.15</v>
      </c>
      <c r="F15" s="16" t="n">
        <v>124</v>
      </c>
      <c r="G15" s="17" t="n">
        <v>1.16</v>
      </c>
      <c r="H15" s="18" t="n">
        <v>0.0065</v>
      </c>
      <c r="I15" s="15" t="n">
        <v>6.6</v>
      </c>
      <c r="J15" s="19" t="n">
        <v>14.5</v>
      </c>
      <c r="K15" s="16" t="n">
        <v>4000</v>
      </c>
      <c r="L15" s="20">
        <f>MAX(H15*SEA,G15*FRTKG)</f>
        <v/>
      </c>
      <c r="M15" s="20">
        <f>(I15+L15)*DUTY</f>
        <v/>
      </c>
      <c r="N15" s="21">
        <f>(I15+L15+M15)*USD_AED+INBOUND</f>
        <v/>
      </c>
      <c r="O15" s="21">
        <f>F15*REF</f>
        <v/>
      </c>
      <c r="P15" s="21">
        <f>F15*PPC_S</f>
        <v/>
      </c>
      <c r="Q15" s="21">
        <f>F15*COUP_S</f>
        <v/>
      </c>
      <c r="R15" s="21">
        <f>F15*MKT</f>
        <v/>
      </c>
      <c r="S15" s="21">
        <f>F15*RET</f>
        <v/>
      </c>
      <c r="T15" s="21">
        <f>F15-F15/(1+VAT)</f>
        <v/>
      </c>
      <c r="U15" s="21">
        <f>F15/(1+VAT)</f>
        <v/>
      </c>
      <c r="V15" s="22">
        <f>U15-(O15+J15+P15+Q15+R15+S15)-N15</f>
        <v/>
      </c>
      <c r="W15" s="23">
        <f>V15/U15</f>
        <v/>
      </c>
      <c r="X15" s="24">
        <f>V15/N15</f>
        <v/>
      </c>
      <c r="Y15" s="21">
        <f>U15-(O15+J15+F15*PPC_L+F15*COUP_L+R15+S15)-N15</f>
        <v/>
      </c>
      <c r="Z15" s="25">
        <f>Y15/U15</f>
        <v/>
      </c>
      <c r="AA15" s="26">
        <f>V15*K15*UAE_MKT*SHARE</f>
        <v/>
      </c>
      <c r="AB15" s="14" t="inlineStr">
        <is>
          <t>ссылка</t>
        </is>
      </c>
      <c r="AC15" s="12" t="inlineStr">
        <is>
          <t>ЗАПУСК</t>
        </is>
      </c>
    </row>
    <row r="16">
      <c r="A16" s="12" t="n">
        <v>13</v>
      </c>
      <c r="B16" s="13" t="inlineStr">
        <is>
          <t>Вакуумные пакеты с беспроводным электронасосом (travel)</t>
        </is>
      </c>
      <c r="C16" s="14" t="inlineStr">
        <is>
          <t>B0GF7LLCL8</t>
        </is>
      </c>
      <c r="D16" s="13" t="inlineStr">
        <is>
          <t>Хранение/организация</t>
        </is>
      </c>
      <c r="E16" s="15" t="n">
        <v>30.15</v>
      </c>
      <c r="F16" s="16" t="n">
        <v>124</v>
      </c>
      <c r="G16" s="17" t="n">
        <v>1.16</v>
      </c>
      <c r="H16" s="18" t="n">
        <v>0.0062</v>
      </c>
      <c r="I16" s="15" t="n">
        <v>6</v>
      </c>
      <c r="J16" s="19" t="n">
        <v>14.5</v>
      </c>
      <c r="K16" s="16" t="n">
        <v>4000</v>
      </c>
      <c r="L16" s="20">
        <f>MAX(H16*SEA,G16*FRTKG)</f>
        <v/>
      </c>
      <c r="M16" s="20">
        <f>(I16+L16)*DUTY</f>
        <v/>
      </c>
      <c r="N16" s="21">
        <f>(I16+L16+M16)*USD_AED+INBOUND</f>
        <v/>
      </c>
      <c r="O16" s="21">
        <f>F16*REF</f>
        <v/>
      </c>
      <c r="P16" s="21">
        <f>F16*PPC_S</f>
        <v/>
      </c>
      <c r="Q16" s="21">
        <f>F16*COUP_S</f>
        <v/>
      </c>
      <c r="R16" s="21">
        <f>F16*MKT</f>
        <v/>
      </c>
      <c r="S16" s="21">
        <f>F16*RET</f>
        <v/>
      </c>
      <c r="T16" s="21">
        <f>F16-F16/(1+VAT)</f>
        <v/>
      </c>
      <c r="U16" s="21">
        <f>F16/(1+VAT)</f>
        <v/>
      </c>
      <c r="V16" s="22">
        <f>U16-(O16+J16+P16+Q16+R16+S16)-N16</f>
        <v/>
      </c>
      <c r="W16" s="23">
        <f>V16/U16</f>
        <v/>
      </c>
      <c r="X16" s="24">
        <f>V16/N16</f>
        <v/>
      </c>
      <c r="Y16" s="21">
        <f>U16-(O16+J16+F16*PPC_L+F16*COUP_L+R16+S16)-N16</f>
        <v/>
      </c>
      <c r="Z16" s="25">
        <f>Y16/U16</f>
        <v/>
      </c>
      <c r="AA16" s="26">
        <f>V16*K16*UAE_MKT*SHARE</f>
        <v/>
      </c>
      <c r="AB16" s="14" t="inlineStr">
        <is>
          <t>ссылка</t>
        </is>
      </c>
      <c r="AC16" s="12" t="inlineStr">
        <is>
          <t>ЗАПУСК</t>
        </is>
      </c>
    </row>
    <row r="17">
      <c r="A17" s="12" t="n">
        <v>14</v>
      </c>
      <c r="B17" s="13" t="inlineStr">
        <is>
          <t>Искусственная зелень эвкалипт, 130 шт (декор)</t>
        </is>
      </c>
      <c r="C17" s="14" t="inlineStr">
        <is>
          <t>B0GDTFFKYC</t>
        </is>
      </c>
      <c r="D17" s="13" t="inlineStr">
        <is>
          <t>Декор</t>
        </is>
      </c>
      <c r="E17" s="15" t="n">
        <v>27.72</v>
      </c>
      <c r="F17" s="16" t="n">
        <v>114</v>
      </c>
      <c r="G17" s="17" t="n">
        <v>0.64</v>
      </c>
      <c r="H17" s="18" t="n">
        <v>0.0069</v>
      </c>
      <c r="I17" s="15" t="n">
        <v>5.6</v>
      </c>
      <c r="J17" s="19" t="n">
        <v>11</v>
      </c>
      <c r="K17" s="16" t="n">
        <v>7000</v>
      </c>
      <c r="L17" s="20">
        <f>MAX(H17*SEA,G17*FRTKG)</f>
        <v/>
      </c>
      <c r="M17" s="20">
        <f>(I17+L17)*DUTY</f>
        <v/>
      </c>
      <c r="N17" s="21">
        <f>(I17+L17+M17)*USD_AED+INBOUND</f>
        <v/>
      </c>
      <c r="O17" s="21">
        <f>F17*REF</f>
        <v/>
      </c>
      <c r="P17" s="21">
        <f>F17*PPC_S</f>
        <v/>
      </c>
      <c r="Q17" s="21">
        <f>F17*COUP_S</f>
        <v/>
      </c>
      <c r="R17" s="21">
        <f>F17*MKT</f>
        <v/>
      </c>
      <c r="S17" s="21">
        <f>F17*RET</f>
        <v/>
      </c>
      <c r="T17" s="21">
        <f>F17-F17/(1+VAT)</f>
        <v/>
      </c>
      <c r="U17" s="21">
        <f>F17/(1+VAT)</f>
        <v/>
      </c>
      <c r="V17" s="22">
        <f>U17-(O17+J17+P17+Q17+R17+S17)-N17</f>
        <v/>
      </c>
      <c r="W17" s="23">
        <f>V17/U17</f>
        <v/>
      </c>
      <c r="X17" s="24">
        <f>V17/N17</f>
        <v/>
      </c>
      <c r="Y17" s="21">
        <f>U17-(O17+J17+F17*PPC_L+F17*COUP_L+R17+S17)-N17</f>
        <v/>
      </c>
      <c r="Z17" s="25">
        <f>Y17/U17</f>
        <v/>
      </c>
      <c r="AA17" s="26">
        <f>V17*K17*UAE_MKT*SHARE</f>
        <v/>
      </c>
      <c r="AB17" s="14" t="inlineStr">
        <is>
          <t>ссылка</t>
        </is>
      </c>
      <c r="AC17" s="12" t="inlineStr">
        <is>
          <t>ЗАПУСК</t>
        </is>
      </c>
    </row>
    <row r="18">
      <c r="A18" s="12" t="n">
        <v>15</v>
      </c>
      <c r="B18" s="13" t="inlineStr">
        <is>
          <t>Офисное кресло руководителя, эко-кожа</t>
        </is>
      </c>
      <c r="C18" s="14" t="inlineStr">
        <is>
          <t>B0FZRGB6BN</t>
        </is>
      </c>
      <c r="D18" s="13" t="inlineStr">
        <is>
          <t>Мебель/офисные кресла</t>
        </is>
      </c>
      <c r="E18" s="15" t="n">
        <v>179.5</v>
      </c>
      <c r="F18" s="16" t="n">
        <v>824</v>
      </c>
      <c r="G18" s="17" t="n">
        <v>15.58</v>
      </c>
      <c r="H18" s="18" t="n">
        <v>0.08110000000000001</v>
      </c>
      <c r="I18" s="15" t="n">
        <v>57.6</v>
      </c>
      <c r="J18" s="19" t="n">
        <v>78</v>
      </c>
      <c r="K18" s="16" t="n">
        <v>600</v>
      </c>
      <c r="L18" s="20">
        <f>MAX(H18*SEA,G18*FRTKG)</f>
        <v/>
      </c>
      <c r="M18" s="20">
        <f>(I18+L18)*DUTY</f>
        <v/>
      </c>
      <c r="N18" s="21">
        <f>(I18+L18+M18)*USD_AED+INBOUND</f>
        <v/>
      </c>
      <c r="O18" s="21">
        <f>F18*REF</f>
        <v/>
      </c>
      <c r="P18" s="21">
        <f>F18*PPC_S</f>
        <v/>
      </c>
      <c r="Q18" s="21">
        <f>F18*COUP_S</f>
        <v/>
      </c>
      <c r="R18" s="21">
        <f>F18*MKT</f>
        <v/>
      </c>
      <c r="S18" s="21">
        <f>F18*RET</f>
        <v/>
      </c>
      <c r="T18" s="21">
        <f>F18-F18/(1+VAT)</f>
        <v/>
      </c>
      <c r="U18" s="21">
        <f>F18/(1+VAT)</f>
        <v/>
      </c>
      <c r="V18" s="22">
        <f>U18-(O18+J18+P18+Q18+R18+S18)-N18</f>
        <v/>
      </c>
      <c r="W18" s="23">
        <f>V18/U18</f>
        <v/>
      </c>
      <c r="X18" s="24">
        <f>V18/N18</f>
        <v/>
      </c>
      <c r="Y18" s="21">
        <f>U18-(O18+J18+F18*PPC_L+F18*COUP_L+R18+S18)-N18</f>
        <v/>
      </c>
      <c r="Z18" s="25">
        <f>Y18/U18</f>
        <v/>
      </c>
      <c r="AA18" s="26">
        <f>V18*K18*UAE_MKT*SHARE</f>
        <v/>
      </c>
      <c r="AB18" s="14" t="inlineStr">
        <is>
          <t>ссылка</t>
        </is>
      </c>
      <c r="AC18" s="12" t="inlineStr">
        <is>
          <t>ЗАПУСК</t>
        </is>
      </c>
    </row>
    <row r="19">
      <c r="A19" s="12" t="n">
        <v>16</v>
      </c>
      <c r="B19" s="13" t="inlineStr">
        <is>
          <t>Эргономичное офисное кресло (сетка), для долгой работы</t>
        </is>
      </c>
      <c r="C19" s="14" t="inlineStr">
        <is>
          <t>B0GXKMXLDC</t>
        </is>
      </c>
      <c r="D19" s="13" t="inlineStr">
        <is>
          <t>Мебель/офисные кресла</t>
        </is>
      </c>
      <c r="E19" s="15" t="n">
        <v>150.09</v>
      </c>
      <c r="F19" s="16" t="n">
        <v>689</v>
      </c>
      <c r="G19" s="17" t="n">
        <v>13.29</v>
      </c>
      <c r="H19" s="18" t="n">
        <v>0.0774</v>
      </c>
      <c r="I19" s="15" t="n">
        <v>48</v>
      </c>
      <c r="J19" s="19" t="n">
        <v>60</v>
      </c>
      <c r="K19" s="16" t="n">
        <v>500</v>
      </c>
      <c r="L19" s="20">
        <f>MAX(H19*SEA,G19*FRTKG)</f>
        <v/>
      </c>
      <c r="M19" s="20">
        <f>(I19+L19)*DUTY</f>
        <v/>
      </c>
      <c r="N19" s="21">
        <f>(I19+L19+M19)*USD_AED+INBOUND</f>
        <v/>
      </c>
      <c r="O19" s="21">
        <f>F19*REF</f>
        <v/>
      </c>
      <c r="P19" s="21">
        <f>F19*PPC_S</f>
        <v/>
      </c>
      <c r="Q19" s="21">
        <f>F19*COUP_S</f>
        <v/>
      </c>
      <c r="R19" s="21">
        <f>F19*MKT</f>
        <v/>
      </c>
      <c r="S19" s="21">
        <f>F19*RET</f>
        <v/>
      </c>
      <c r="T19" s="21">
        <f>F19-F19/(1+VAT)</f>
        <v/>
      </c>
      <c r="U19" s="21">
        <f>F19/(1+VAT)</f>
        <v/>
      </c>
      <c r="V19" s="22">
        <f>U19-(O19+J19+P19+Q19+R19+S19)-N19</f>
        <v/>
      </c>
      <c r="W19" s="23">
        <f>V19/U19</f>
        <v/>
      </c>
      <c r="X19" s="24">
        <f>V19/N19</f>
        <v/>
      </c>
      <c r="Y19" s="21">
        <f>U19-(O19+J19+F19*PPC_L+F19*COUP_L+R19+S19)-N19</f>
        <v/>
      </c>
      <c r="Z19" s="25">
        <f>Y19/U19</f>
        <v/>
      </c>
      <c r="AA19" s="26">
        <f>V19*K19*UAE_MKT*SHARE</f>
        <v/>
      </c>
      <c r="AB19" s="14" t="inlineStr">
        <is>
          <t>ссылка</t>
        </is>
      </c>
      <c r="AC19" s="12" t="inlineStr">
        <is>
          <t>ЗАПУСК</t>
        </is>
      </c>
    </row>
    <row r="20">
      <c r="A20" s="12" t="n">
        <v>17</v>
      </c>
      <c r="B20" s="13" t="inlineStr">
        <is>
          <t>Офисное кресло эргономичное (сетка) с подголовником</t>
        </is>
      </c>
      <c r="C20" s="14" t="inlineStr">
        <is>
          <t>B0H2B94R5F</t>
        </is>
      </c>
      <c r="D20" s="13" t="inlineStr">
        <is>
          <t>Мебель/офисные кресла</t>
        </is>
      </c>
      <c r="E20" s="15" t="n">
        <v>140.29</v>
      </c>
      <c r="F20" s="16" t="n">
        <v>644</v>
      </c>
      <c r="G20" s="17" t="n">
        <v>13.72</v>
      </c>
      <c r="H20" s="18" t="n">
        <v>0.0813</v>
      </c>
      <c r="I20" s="15" t="n">
        <v>44.8</v>
      </c>
      <c r="J20" s="19" t="n">
        <v>60</v>
      </c>
      <c r="K20" s="16" t="n">
        <v>1000</v>
      </c>
      <c r="L20" s="20">
        <f>MAX(H20*SEA,G20*FRTKG)</f>
        <v/>
      </c>
      <c r="M20" s="20">
        <f>(I20+L20)*DUTY</f>
        <v/>
      </c>
      <c r="N20" s="21">
        <f>(I20+L20+M20)*USD_AED+INBOUND</f>
        <v/>
      </c>
      <c r="O20" s="21">
        <f>F20*REF</f>
        <v/>
      </c>
      <c r="P20" s="21">
        <f>F20*PPC_S</f>
        <v/>
      </c>
      <c r="Q20" s="21">
        <f>F20*COUP_S</f>
        <v/>
      </c>
      <c r="R20" s="21">
        <f>F20*MKT</f>
        <v/>
      </c>
      <c r="S20" s="21">
        <f>F20*RET</f>
        <v/>
      </c>
      <c r="T20" s="21">
        <f>F20-F20/(1+VAT)</f>
        <v/>
      </c>
      <c r="U20" s="21">
        <f>F20/(1+VAT)</f>
        <v/>
      </c>
      <c r="V20" s="22">
        <f>U20-(O20+J20+P20+Q20+R20+S20)-N20</f>
        <v/>
      </c>
      <c r="W20" s="23">
        <f>V20/U20</f>
        <v/>
      </c>
      <c r="X20" s="24">
        <f>V20/N20</f>
        <v/>
      </c>
      <c r="Y20" s="21">
        <f>U20-(O20+J20+F20*PPC_L+F20*COUP_L+R20+S20)-N20</f>
        <v/>
      </c>
      <c r="Z20" s="25">
        <f>Y20/U20</f>
        <v/>
      </c>
      <c r="AA20" s="26">
        <f>V20*K20*UAE_MKT*SHARE</f>
        <v/>
      </c>
      <c r="AB20" s="14" t="inlineStr">
        <is>
          <t>ссылка</t>
        </is>
      </c>
      <c r="AC20" s="12" t="inlineStr">
        <is>
          <t>ЗАПУСК</t>
        </is>
      </c>
    </row>
    <row r="21">
      <c r="A21" s="12" t="n">
        <v>18</v>
      </c>
      <c r="B21" s="13" t="inlineStr">
        <is>
          <t>Кресло усиленное Big&amp;Tall (до ~180 кг), откидные подлокотники</t>
        </is>
      </c>
      <c r="C21" s="14" t="inlineStr">
        <is>
          <t>B0GN1P7DTT</t>
        </is>
      </c>
      <c r="D21" s="13" t="inlineStr">
        <is>
          <t>Мебель/офисные кресла</t>
        </is>
      </c>
      <c r="E21" s="15" t="n">
        <v>225.24</v>
      </c>
      <c r="F21" s="16" t="n">
        <v>1034</v>
      </c>
      <c r="G21" s="17" t="n">
        <v>24.99</v>
      </c>
      <c r="H21" s="18" t="n">
        <v>0.1709</v>
      </c>
      <c r="I21" s="15" t="n">
        <v>72.04000000000001</v>
      </c>
      <c r="J21" s="19" t="n">
        <v>92</v>
      </c>
      <c r="K21" s="16" t="n">
        <v>400</v>
      </c>
      <c r="L21" s="20">
        <f>MAX(H21*SEA,G21*FRTKG)</f>
        <v/>
      </c>
      <c r="M21" s="20">
        <f>(I21+L21)*DUTY</f>
        <v/>
      </c>
      <c r="N21" s="21">
        <f>(I21+L21+M21)*USD_AED+INBOUND</f>
        <v/>
      </c>
      <c r="O21" s="21">
        <f>F21*REF</f>
        <v/>
      </c>
      <c r="P21" s="21">
        <f>F21*PPC_S</f>
        <v/>
      </c>
      <c r="Q21" s="21">
        <f>F21*COUP_S</f>
        <v/>
      </c>
      <c r="R21" s="21">
        <f>F21*MKT</f>
        <v/>
      </c>
      <c r="S21" s="21">
        <f>F21*RET</f>
        <v/>
      </c>
      <c r="T21" s="21">
        <f>F21-F21/(1+VAT)</f>
        <v/>
      </c>
      <c r="U21" s="21">
        <f>F21/(1+VAT)</f>
        <v/>
      </c>
      <c r="V21" s="22">
        <f>U21-(O21+J21+P21+Q21+R21+S21)-N21</f>
        <v/>
      </c>
      <c r="W21" s="23">
        <f>V21/U21</f>
        <v/>
      </c>
      <c r="X21" s="24">
        <f>V21/N21</f>
        <v/>
      </c>
      <c r="Y21" s="21">
        <f>U21-(O21+J21+F21*PPC_L+F21*COUP_L+R21+S21)-N21</f>
        <v/>
      </c>
      <c r="Z21" s="25">
        <f>Y21/U21</f>
        <v/>
      </c>
      <c r="AA21" s="26">
        <f>V21*K21*UAE_MKT*SHARE</f>
        <v/>
      </c>
      <c r="AB21" s="14" t="inlineStr">
        <is>
          <t>ссылка</t>
        </is>
      </c>
      <c r="AC21" s="12" t="inlineStr">
        <is>
          <t>СТРАТЕГ.</t>
        </is>
      </c>
    </row>
    <row r="22">
      <c r="A22" s="12" t="n">
        <v>19</v>
      </c>
      <c r="B22" s="13" t="inlineStr">
        <is>
          <t>Ковер 8x10 (240x300) бохо, для гостиной</t>
        </is>
      </c>
      <c r="C22" s="14" t="inlineStr">
        <is>
          <t>B0GL357H51</t>
        </is>
      </c>
      <c r="D22" s="13" t="inlineStr">
        <is>
          <t>Мебель/декор</t>
        </is>
      </c>
      <c r="E22" s="15" t="n">
        <v>68.40000000000001</v>
      </c>
      <c r="F22" s="16" t="n">
        <v>314</v>
      </c>
      <c r="G22" s="17" t="n">
        <v>5.93</v>
      </c>
      <c r="H22" s="18" t="n">
        <v>0.0259</v>
      </c>
      <c r="I22" s="15" t="n">
        <v>19.32</v>
      </c>
      <c r="J22" s="19" t="n">
        <v>20</v>
      </c>
      <c r="K22" s="16" t="n">
        <v>4000</v>
      </c>
      <c r="L22" s="20">
        <f>MAX(H22*SEA,G22*FRTKG)</f>
        <v/>
      </c>
      <c r="M22" s="20">
        <f>(I22+L22)*DUTY</f>
        <v/>
      </c>
      <c r="N22" s="21">
        <f>(I22+L22+M22)*USD_AED+INBOUND</f>
        <v/>
      </c>
      <c r="O22" s="21">
        <f>F22*REF</f>
        <v/>
      </c>
      <c r="P22" s="21">
        <f>F22*PPC_S</f>
        <v/>
      </c>
      <c r="Q22" s="21">
        <f>F22*COUP_S</f>
        <v/>
      </c>
      <c r="R22" s="21">
        <f>F22*MKT</f>
        <v/>
      </c>
      <c r="S22" s="21">
        <f>F22*RET</f>
        <v/>
      </c>
      <c r="T22" s="21">
        <f>F22-F22/(1+VAT)</f>
        <v/>
      </c>
      <c r="U22" s="21">
        <f>F22/(1+VAT)</f>
        <v/>
      </c>
      <c r="V22" s="22">
        <f>U22-(O22+J22+P22+Q22+R22+S22)-N22</f>
        <v/>
      </c>
      <c r="W22" s="23">
        <f>V22/U22</f>
        <v/>
      </c>
      <c r="X22" s="24">
        <f>V22/N22</f>
        <v/>
      </c>
      <c r="Y22" s="21">
        <f>U22-(O22+J22+F22*PPC_L+F22*COUP_L+R22+S22)-N22</f>
        <v/>
      </c>
      <c r="Z22" s="25">
        <f>Y22/U22</f>
        <v/>
      </c>
      <c r="AA22" s="26">
        <f>V22*K22*UAE_MKT*SHARE</f>
        <v/>
      </c>
      <c r="AB22" s="14" t="inlineStr">
        <is>
          <t>ссылка</t>
        </is>
      </c>
      <c r="AC22" s="12" t="inlineStr">
        <is>
          <t>ЗАПУСК</t>
        </is>
      </c>
    </row>
    <row r="23">
      <c r="A23" s="12" t="n">
        <v>20</v>
      </c>
      <c r="B23" s="13" t="inlineStr">
        <is>
          <t>Коврик под офисное кресло (защита пола), XL</t>
        </is>
      </c>
      <c r="C23" s="14" t="inlineStr">
        <is>
          <t>B0G1SX2D8H</t>
        </is>
      </c>
      <c r="D23" s="13" t="inlineStr">
        <is>
          <t>Мебель/офисные аксессуары</t>
        </is>
      </c>
      <c r="E23" s="15" t="n">
        <v>55.33</v>
      </c>
      <c r="F23" s="16" t="n">
        <v>254</v>
      </c>
      <c r="G23" s="17" t="n">
        <v>4.08</v>
      </c>
      <c r="H23" s="18" t="n">
        <v>0.0048</v>
      </c>
      <c r="I23" s="15" t="n">
        <v>17.92</v>
      </c>
      <c r="J23" s="19" t="n">
        <v>32</v>
      </c>
      <c r="K23" s="16" t="n">
        <v>400</v>
      </c>
      <c r="L23" s="20">
        <f>MAX(H23*SEA,G23*FRTKG)</f>
        <v/>
      </c>
      <c r="M23" s="20">
        <f>(I23+L23)*DUTY</f>
        <v/>
      </c>
      <c r="N23" s="21">
        <f>(I23+L23+M23)*USD_AED+INBOUND</f>
        <v/>
      </c>
      <c r="O23" s="21">
        <f>F23*REF</f>
        <v/>
      </c>
      <c r="P23" s="21">
        <f>F23*PPC_S</f>
        <v/>
      </c>
      <c r="Q23" s="21">
        <f>F23*COUP_S</f>
        <v/>
      </c>
      <c r="R23" s="21">
        <f>F23*MKT</f>
        <v/>
      </c>
      <c r="S23" s="21">
        <f>F23*RET</f>
        <v/>
      </c>
      <c r="T23" s="21">
        <f>F23-F23/(1+VAT)</f>
        <v/>
      </c>
      <c r="U23" s="21">
        <f>F23/(1+VAT)</f>
        <v/>
      </c>
      <c r="V23" s="22">
        <f>U23-(O23+J23+P23+Q23+R23+S23)-N23</f>
        <v/>
      </c>
      <c r="W23" s="23">
        <f>V23/U23</f>
        <v/>
      </c>
      <c r="X23" s="24">
        <f>V23/N23</f>
        <v/>
      </c>
      <c r="Y23" s="21">
        <f>U23-(O23+J23+F23*PPC_L+F23*COUP_L+R23+S23)-N23</f>
        <v/>
      </c>
      <c r="Z23" s="25">
        <f>Y23/U23</f>
        <v/>
      </c>
      <c r="AA23" s="26">
        <f>V23*K23*UAE_MKT*SHARE</f>
        <v/>
      </c>
      <c r="AB23" s="14" t="inlineStr">
        <is>
          <t>ссылка</t>
        </is>
      </c>
      <c r="AC23" s="12" t="inlineStr">
        <is>
          <t>ЗАПУСК</t>
        </is>
      </c>
    </row>
    <row r="24">
      <c r="A24" s="27" t="n"/>
      <c r="B24" s="28" t="inlineStr">
        <is>
          <t>ИТОГО портфель</t>
        </is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9">
        <f>SUM(AA4:AA23)</f>
        <v/>
      </c>
      <c r="AB24" s="27" t="n"/>
      <c r="AC24" s="27" t="n"/>
    </row>
  </sheetData>
  <mergeCells count="1">
    <mergeCell ref="A1:AC1"/>
  </mergeCells>
  <hyperlinks>
    <hyperlink xmlns:r="http://schemas.openxmlformats.org/officeDocument/2006/relationships" ref="C4" r:id="rId1"/>
    <hyperlink xmlns:r="http://schemas.openxmlformats.org/officeDocument/2006/relationships" ref="AB4" r:id="rId2"/>
    <hyperlink xmlns:r="http://schemas.openxmlformats.org/officeDocument/2006/relationships" ref="C5" r:id="rId3"/>
    <hyperlink xmlns:r="http://schemas.openxmlformats.org/officeDocument/2006/relationships" ref="AB5" r:id="rId4"/>
    <hyperlink xmlns:r="http://schemas.openxmlformats.org/officeDocument/2006/relationships" ref="C6" r:id="rId5"/>
    <hyperlink xmlns:r="http://schemas.openxmlformats.org/officeDocument/2006/relationships" ref="AB6" r:id="rId6"/>
    <hyperlink xmlns:r="http://schemas.openxmlformats.org/officeDocument/2006/relationships" ref="C7" r:id="rId7"/>
    <hyperlink xmlns:r="http://schemas.openxmlformats.org/officeDocument/2006/relationships" ref="AB7" r:id="rId8"/>
    <hyperlink xmlns:r="http://schemas.openxmlformats.org/officeDocument/2006/relationships" ref="C8" r:id="rId9"/>
    <hyperlink xmlns:r="http://schemas.openxmlformats.org/officeDocument/2006/relationships" ref="AB8" r:id="rId10"/>
    <hyperlink xmlns:r="http://schemas.openxmlformats.org/officeDocument/2006/relationships" ref="C9" r:id="rId11"/>
    <hyperlink xmlns:r="http://schemas.openxmlformats.org/officeDocument/2006/relationships" ref="AB9" r:id="rId12"/>
    <hyperlink xmlns:r="http://schemas.openxmlformats.org/officeDocument/2006/relationships" ref="C10" r:id="rId13"/>
    <hyperlink xmlns:r="http://schemas.openxmlformats.org/officeDocument/2006/relationships" ref="AB10" r:id="rId14"/>
    <hyperlink xmlns:r="http://schemas.openxmlformats.org/officeDocument/2006/relationships" ref="C11" r:id="rId15"/>
    <hyperlink xmlns:r="http://schemas.openxmlformats.org/officeDocument/2006/relationships" ref="AB11" r:id="rId16"/>
    <hyperlink xmlns:r="http://schemas.openxmlformats.org/officeDocument/2006/relationships" ref="C12" r:id="rId17"/>
    <hyperlink xmlns:r="http://schemas.openxmlformats.org/officeDocument/2006/relationships" ref="AB12" r:id="rId18"/>
    <hyperlink xmlns:r="http://schemas.openxmlformats.org/officeDocument/2006/relationships" ref="C13" r:id="rId19"/>
    <hyperlink xmlns:r="http://schemas.openxmlformats.org/officeDocument/2006/relationships" ref="AB13" r:id="rId20"/>
    <hyperlink xmlns:r="http://schemas.openxmlformats.org/officeDocument/2006/relationships" ref="C14" r:id="rId21"/>
    <hyperlink xmlns:r="http://schemas.openxmlformats.org/officeDocument/2006/relationships" ref="AB14" r:id="rId22"/>
    <hyperlink xmlns:r="http://schemas.openxmlformats.org/officeDocument/2006/relationships" ref="C15" r:id="rId23"/>
    <hyperlink xmlns:r="http://schemas.openxmlformats.org/officeDocument/2006/relationships" ref="AB15" r:id="rId24"/>
    <hyperlink xmlns:r="http://schemas.openxmlformats.org/officeDocument/2006/relationships" ref="C16" r:id="rId25"/>
    <hyperlink xmlns:r="http://schemas.openxmlformats.org/officeDocument/2006/relationships" ref="AB16" r:id="rId26"/>
    <hyperlink xmlns:r="http://schemas.openxmlformats.org/officeDocument/2006/relationships" ref="C17" r:id="rId27"/>
    <hyperlink xmlns:r="http://schemas.openxmlformats.org/officeDocument/2006/relationships" ref="AB17" r:id="rId28"/>
    <hyperlink xmlns:r="http://schemas.openxmlformats.org/officeDocument/2006/relationships" ref="C18" r:id="rId29"/>
    <hyperlink xmlns:r="http://schemas.openxmlformats.org/officeDocument/2006/relationships" ref="AB18" r:id="rId30"/>
    <hyperlink xmlns:r="http://schemas.openxmlformats.org/officeDocument/2006/relationships" ref="C19" r:id="rId31"/>
    <hyperlink xmlns:r="http://schemas.openxmlformats.org/officeDocument/2006/relationships" ref="AB19" r:id="rId32"/>
    <hyperlink xmlns:r="http://schemas.openxmlformats.org/officeDocument/2006/relationships" ref="C20" r:id="rId33"/>
    <hyperlink xmlns:r="http://schemas.openxmlformats.org/officeDocument/2006/relationships" ref="AB20" r:id="rId34"/>
    <hyperlink xmlns:r="http://schemas.openxmlformats.org/officeDocument/2006/relationships" ref="C21" r:id="rId35"/>
    <hyperlink xmlns:r="http://schemas.openxmlformats.org/officeDocument/2006/relationships" ref="AB21" r:id="rId36"/>
    <hyperlink xmlns:r="http://schemas.openxmlformats.org/officeDocument/2006/relationships" ref="C22" r:id="rId37"/>
    <hyperlink xmlns:r="http://schemas.openxmlformats.org/officeDocument/2006/relationships" ref="AB22" r:id="rId38"/>
    <hyperlink xmlns:r="http://schemas.openxmlformats.org/officeDocument/2006/relationships" ref="C23" r:id="rId39"/>
    <hyperlink xmlns:r="http://schemas.openxmlformats.org/officeDocument/2006/relationships" ref="AB23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>
      <c r="A1" s="10" t="inlineStr">
        <is>
          <t>ИНВЕСТИЦИОННЫЙ АНАЛИЗ (рабочий режим). Ввод: 'Заказ, шт' и бюджет запуска. Остальное — формулы.</t>
        </is>
      </c>
    </row>
    <row r="3">
      <c r="A3" s="11" t="inlineStr">
        <is>
          <t>№</t>
        </is>
      </c>
      <c r="B3" s="11" t="inlineStr">
        <is>
          <t>Товар</t>
        </is>
      </c>
      <c r="C3" s="11" t="inlineStr">
        <is>
          <t>Заказ, шт</t>
        </is>
      </c>
      <c r="D3" s="11" t="inlineStr">
        <is>
          <t>Landed AED/шт</t>
        </is>
      </c>
      <c r="E3" s="11" t="inlineStr">
        <is>
          <t>Капитал закупки AED</t>
        </is>
      </c>
      <c r="F3" s="11" t="inlineStr">
        <is>
          <t>EBITDA/шт AED</t>
        </is>
      </c>
      <c r="G3" s="11" t="inlineStr">
        <is>
          <t>EBITDA/мес (при захвате) AED</t>
        </is>
      </c>
      <c r="H3" s="11" t="inlineStr">
        <is>
          <t>Окупаемость партии, мес</t>
        </is>
      </c>
    </row>
    <row r="4">
      <c r="A4" s="12" t="n">
        <v>1</v>
      </c>
      <c r="B4" s="13" t="inlineStr">
        <is>
          <t>Мини-вентилятор ручной турбо, аккумуляторный</t>
        </is>
      </c>
      <c r="C4" s="16" t="n">
        <v>600</v>
      </c>
      <c r="D4" s="21">
        <f>Модель_ТЭО!N4</f>
        <v/>
      </c>
      <c r="E4" s="26">
        <f>C4*D4</f>
        <v/>
      </c>
      <c r="F4" s="21">
        <f>Модель_ТЭО!V4</f>
        <v/>
      </c>
      <c r="G4" s="26">
        <f>Модель_ТЭО!AA4</f>
        <v/>
      </c>
      <c r="H4" s="30">
        <f>IF(G4&gt;0,E4/G4,"—")</f>
        <v/>
      </c>
    </row>
    <row r="5">
      <c r="A5" s="12" t="n">
        <v>2</v>
      </c>
      <c r="B5" s="13" t="inlineStr">
        <is>
          <t>Вентилятор на шею безлопастной (носимый)</t>
        </is>
      </c>
      <c r="C5" s="16" t="n">
        <v>500</v>
      </c>
      <c r="D5" s="21">
        <f>Модель_ТЭО!N5</f>
        <v/>
      </c>
      <c r="E5" s="26">
        <f>C5*D5</f>
        <v/>
      </c>
      <c r="F5" s="21">
        <f>Модель_ТЭО!V5</f>
        <v/>
      </c>
      <c r="G5" s="26">
        <f>Модель_ТЭО!AA5</f>
        <v/>
      </c>
      <c r="H5" s="30">
        <f>IF(G5&gt;0,E5/G5,"—")</f>
        <v/>
      </c>
    </row>
    <row r="6">
      <c r="A6" s="12" t="n">
        <v>3</v>
      </c>
      <c r="B6" s="13" t="inlineStr">
        <is>
          <t>Портативный кондиционер/охладитель воздуха</t>
        </is>
      </c>
      <c r="C6" s="16" t="n">
        <v>300</v>
      </c>
      <c r="D6" s="21">
        <f>Модель_ТЭО!N6</f>
        <v/>
      </c>
      <c r="E6" s="26">
        <f>C6*D6</f>
        <v/>
      </c>
      <c r="F6" s="21">
        <f>Модель_ТЭО!V6</f>
        <v/>
      </c>
      <c r="G6" s="26">
        <f>Модель_ТЭО!AA6</f>
        <v/>
      </c>
      <c r="H6" s="30">
        <f>IF(G6&gt;0,E6/G6,"—")</f>
        <v/>
      </c>
    </row>
    <row r="7">
      <c r="A7" s="12" t="n">
        <v>4</v>
      </c>
      <c r="B7" s="13" t="inlineStr">
        <is>
          <t>Очиститель воздуха для дома (HEPA), большая комната</t>
        </is>
      </c>
      <c r="C7" s="16" t="n">
        <v>300</v>
      </c>
      <c r="D7" s="21">
        <f>Модель_ТЭО!N7</f>
        <v/>
      </c>
      <c r="E7" s="26">
        <f>C7*D7</f>
        <v/>
      </c>
      <c r="F7" s="21">
        <f>Модель_ТЭО!V7</f>
        <v/>
      </c>
      <c r="G7" s="26">
        <f>Модель_ТЭО!AA7</f>
        <v/>
      </c>
      <c r="H7" s="30">
        <f>IF(G7&gt;0,E7/G7,"—")</f>
        <v/>
      </c>
    </row>
    <row r="8">
      <c r="A8" s="12" t="n">
        <v>5</v>
      </c>
      <c r="B8" s="13" t="inlineStr">
        <is>
          <t>Осушитель воздуха для дома (~93 м²)</t>
        </is>
      </c>
      <c r="C8" s="16" t="n">
        <v>250</v>
      </c>
      <c r="D8" s="21">
        <f>Модель_ТЭО!N8</f>
        <v/>
      </c>
      <c r="E8" s="26">
        <f>C8*D8</f>
        <v/>
      </c>
      <c r="F8" s="21">
        <f>Модель_ТЭО!V8</f>
        <v/>
      </c>
      <c r="G8" s="26">
        <f>Модель_ТЭО!AA8</f>
        <v/>
      </c>
      <c r="H8" s="30">
        <f>IF(G8&gt;0,E8/G8,"—")</f>
        <v/>
      </c>
    </row>
    <row r="9">
      <c r="A9" s="12" t="n">
        <v>6</v>
      </c>
      <c r="B9" s="13" t="inlineStr">
        <is>
          <t>Ручной пароочиститель под давлением (110°C)</t>
        </is>
      </c>
      <c r="C9" s="16" t="n">
        <v>300</v>
      </c>
      <c r="D9" s="21">
        <f>Модель_ТЭО!N9</f>
        <v/>
      </c>
      <c r="E9" s="26">
        <f>C9*D9</f>
        <v/>
      </c>
      <c r="F9" s="21">
        <f>Модель_ТЭО!V9</f>
        <v/>
      </c>
      <c r="G9" s="26">
        <f>Модель_ТЭО!AA9</f>
        <v/>
      </c>
      <c r="H9" s="30">
        <f>IF(G9&gt;0,E9/G9,"—")</f>
        <v/>
      </c>
    </row>
    <row r="10">
      <c r="A10" s="12" t="n">
        <v>7</v>
      </c>
      <c r="B10" s="13" t="inlineStr">
        <is>
          <t>Отпариватель для одежды 1000W портативный</t>
        </is>
      </c>
      <c r="C10" s="16" t="n">
        <v>300</v>
      </c>
      <c r="D10" s="21">
        <f>Модель_ТЭО!N10</f>
        <v/>
      </c>
      <c r="E10" s="26">
        <f>C10*D10</f>
        <v/>
      </c>
      <c r="F10" s="21">
        <f>Модель_ТЭО!V10</f>
        <v/>
      </c>
      <c r="G10" s="26">
        <f>Модель_ТЭО!AA10</f>
        <v/>
      </c>
      <c r="H10" s="30">
        <f>IF(G10&gt;0,E10/G10,"—")</f>
        <v/>
      </c>
    </row>
    <row r="11">
      <c r="A11" s="12" t="n">
        <v>8</v>
      </c>
      <c r="B11" s="13" t="inlineStr">
        <is>
          <t>Ремни для переноски мебели (плечевые), 2 чел.</t>
        </is>
      </c>
      <c r="C11" s="16" t="n">
        <v>1200</v>
      </c>
      <c r="D11" s="21">
        <f>Модель_ТЭО!N11</f>
        <v/>
      </c>
      <c r="E11" s="26">
        <f>C11*D11</f>
        <v/>
      </c>
      <c r="F11" s="21">
        <f>Модель_ТЭО!V11</f>
        <v/>
      </c>
      <c r="G11" s="26">
        <f>Модель_ТЭО!AA11</f>
        <v/>
      </c>
      <c r="H11" s="30">
        <f>IF(G11&gt;0,E11/G11,"—")</f>
        <v/>
      </c>
    </row>
    <row r="12">
      <c r="A12" s="12" t="n">
        <v>9</v>
      </c>
      <c r="B12" s="13" t="inlineStr">
        <is>
          <t>Вакуумные пакеты для хранения, 15 шт</t>
        </is>
      </c>
      <c r="C12" s="16" t="n">
        <v>500</v>
      </c>
      <c r="D12" s="21">
        <f>Модель_ТЭО!N12</f>
        <v/>
      </c>
      <c r="E12" s="26">
        <f>C12*D12</f>
        <v/>
      </c>
      <c r="F12" s="21">
        <f>Модель_ТЭО!V12</f>
        <v/>
      </c>
      <c r="G12" s="26">
        <f>Модель_ТЭО!AA12</f>
        <v/>
      </c>
      <c r="H12" s="30">
        <f>IF(G12&gt;0,E12/G12,"—")</f>
        <v/>
      </c>
    </row>
    <row r="13">
      <c r="A13" s="12" t="n">
        <v>10</v>
      </c>
      <c r="B13" s="13" t="inlineStr">
        <is>
          <t>Стойка для ванной телескопическая 4-ярусная (нерж.)</t>
        </is>
      </c>
      <c r="C13" s="16" t="n">
        <v>400</v>
      </c>
      <c r="D13" s="21">
        <f>Модель_ТЭО!N13</f>
        <v/>
      </c>
      <c r="E13" s="26">
        <f>C13*D13</f>
        <v/>
      </c>
      <c r="F13" s="21">
        <f>Модель_ТЭО!V13</f>
        <v/>
      </c>
      <c r="G13" s="26">
        <f>Модель_ТЭО!AA13</f>
        <v/>
      </c>
      <c r="H13" s="30">
        <f>IF(G13&gt;0,E13/G13,"—")</f>
        <v/>
      </c>
    </row>
    <row r="14">
      <c r="A14" s="12" t="n">
        <v>11</v>
      </c>
      <c r="B14" s="13" t="inlineStr">
        <is>
          <t>Корзина для белья с крышкой, складная 100 л</t>
        </is>
      </c>
      <c r="C14" s="16" t="n">
        <v>400</v>
      </c>
      <c r="D14" s="21">
        <f>Модель_ТЭО!N14</f>
        <v/>
      </c>
      <c r="E14" s="26">
        <f>C14*D14</f>
        <v/>
      </c>
      <c r="F14" s="21">
        <f>Модель_ТЭО!V14</f>
        <v/>
      </c>
      <c r="G14" s="26">
        <f>Модель_ТЭО!AA14</f>
        <v/>
      </c>
      <c r="H14" s="30">
        <f>IF(G14&gt;0,E14/G14,"—")</f>
        <v/>
      </c>
    </row>
    <row r="15">
      <c r="A15" s="12" t="n">
        <v>12</v>
      </c>
      <c r="B15" s="13" t="inlineStr">
        <is>
          <t>Набор кухонных ножей 8 предметов (нерж., подставка)</t>
        </is>
      </c>
      <c r="C15" s="16" t="n">
        <v>400</v>
      </c>
      <c r="D15" s="21">
        <f>Модель_ТЭО!N15</f>
        <v/>
      </c>
      <c r="E15" s="26">
        <f>C15*D15</f>
        <v/>
      </c>
      <c r="F15" s="21">
        <f>Модель_ТЭО!V15</f>
        <v/>
      </c>
      <c r="G15" s="26">
        <f>Модель_ТЭО!AA15</f>
        <v/>
      </c>
      <c r="H15" s="30">
        <f>IF(G15&gt;0,E15/G15,"—")</f>
        <v/>
      </c>
    </row>
    <row r="16">
      <c r="A16" s="12" t="n">
        <v>13</v>
      </c>
      <c r="B16" s="13" t="inlineStr">
        <is>
          <t>Вакуумные пакеты с беспроводным электронасосом (travel)</t>
        </is>
      </c>
      <c r="C16" s="16" t="n">
        <v>300</v>
      </c>
      <c r="D16" s="21">
        <f>Модель_ТЭО!N16</f>
        <v/>
      </c>
      <c r="E16" s="26">
        <f>C16*D16</f>
        <v/>
      </c>
      <c r="F16" s="21">
        <f>Модель_ТЭО!V16</f>
        <v/>
      </c>
      <c r="G16" s="26">
        <f>Модель_ТЭО!AA16</f>
        <v/>
      </c>
      <c r="H16" s="30">
        <f>IF(G16&gt;0,E16/G16,"—")</f>
        <v/>
      </c>
    </row>
    <row r="17">
      <c r="A17" s="12" t="n">
        <v>14</v>
      </c>
      <c r="B17" s="13" t="inlineStr">
        <is>
          <t>Искусственная зелень эвкалипт, 130 шт (декор)</t>
        </is>
      </c>
      <c r="C17" s="16" t="n">
        <v>500</v>
      </c>
      <c r="D17" s="21">
        <f>Модель_ТЭО!N17</f>
        <v/>
      </c>
      <c r="E17" s="26">
        <f>C17*D17</f>
        <v/>
      </c>
      <c r="F17" s="21">
        <f>Модель_ТЭО!V17</f>
        <v/>
      </c>
      <c r="G17" s="26">
        <f>Модель_ТЭО!AA17</f>
        <v/>
      </c>
      <c r="H17" s="30">
        <f>IF(G17&gt;0,E17/G17,"—")</f>
        <v/>
      </c>
    </row>
    <row r="18">
      <c r="A18" s="12" t="n">
        <v>15</v>
      </c>
      <c r="B18" s="13" t="inlineStr">
        <is>
          <t>Офисное кресло руководителя, эко-кожа</t>
        </is>
      </c>
      <c r="C18" s="16" t="n">
        <v>120</v>
      </c>
      <c r="D18" s="21">
        <f>Модель_ТЭО!N18</f>
        <v/>
      </c>
      <c r="E18" s="26">
        <f>C18*D18</f>
        <v/>
      </c>
      <c r="F18" s="21">
        <f>Модель_ТЭО!V18</f>
        <v/>
      </c>
      <c r="G18" s="26">
        <f>Модель_ТЭО!AA18</f>
        <v/>
      </c>
      <c r="H18" s="30">
        <f>IF(G18&gt;0,E18/G18,"—")</f>
        <v/>
      </c>
    </row>
    <row r="19">
      <c r="A19" s="12" t="n">
        <v>16</v>
      </c>
      <c r="B19" s="13" t="inlineStr">
        <is>
          <t>Эргономичное офисное кресло (сетка), для долгой работы</t>
        </is>
      </c>
      <c r="C19" s="16" t="n">
        <v>120</v>
      </c>
      <c r="D19" s="21">
        <f>Модель_ТЭО!N19</f>
        <v/>
      </c>
      <c r="E19" s="26">
        <f>C19*D19</f>
        <v/>
      </c>
      <c r="F19" s="21">
        <f>Модель_ТЭО!V19</f>
        <v/>
      </c>
      <c r="G19" s="26">
        <f>Модель_ТЭО!AA19</f>
        <v/>
      </c>
      <c r="H19" s="30">
        <f>IF(G19&gt;0,E19/G19,"—")</f>
        <v/>
      </c>
    </row>
    <row r="20">
      <c r="A20" s="12" t="n">
        <v>17</v>
      </c>
      <c r="B20" s="13" t="inlineStr">
        <is>
          <t>Офисное кресло эргономичное (сетка) с подголовником</t>
        </is>
      </c>
      <c r="C20" s="16" t="n">
        <v>150</v>
      </c>
      <c r="D20" s="21">
        <f>Модель_ТЭО!N20</f>
        <v/>
      </c>
      <c r="E20" s="26">
        <f>C20*D20</f>
        <v/>
      </c>
      <c r="F20" s="21">
        <f>Модель_ТЭО!V20</f>
        <v/>
      </c>
      <c r="G20" s="26">
        <f>Модель_ТЭО!AA20</f>
        <v/>
      </c>
      <c r="H20" s="30">
        <f>IF(G20&gt;0,E20/G20,"—")</f>
        <v/>
      </c>
    </row>
    <row r="21">
      <c r="A21" s="12" t="n">
        <v>18</v>
      </c>
      <c r="B21" s="13" t="inlineStr">
        <is>
          <t>Кресло усиленное Big&amp;Tall (до ~180 кг), откидные подлокотники</t>
        </is>
      </c>
      <c r="C21" s="16" t="n">
        <v>80</v>
      </c>
      <c r="D21" s="21">
        <f>Модель_ТЭО!N21</f>
        <v/>
      </c>
      <c r="E21" s="26">
        <f>C21*D21</f>
        <v/>
      </c>
      <c r="F21" s="21">
        <f>Модель_ТЭО!V21</f>
        <v/>
      </c>
      <c r="G21" s="26">
        <f>Модель_ТЭО!AA21</f>
        <v/>
      </c>
      <c r="H21" s="30">
        <f>IF(G21&gt;0,E21/G21,"—")</f>
        <v/>
      </c>
    </row>
    <row r="22">
      <c r="A22" s="12" t="n">
        <v>19</v>
      </c>
      <c r="B22" s="13" t="inlineStr">
        <is>
          <t>Ковер 8x10 (240x300) бохо, для гостиной</t>
        </is>
      </c>
      <c r="C22" s="16" t="n">
        <v>200</v>
      </c>
      <c r="D22" s="21">
        <f>Модель_ТЭО!N22</f>
        <v/>
      </c>
      <c r="E22" s="26">
        <f>C22*D22</f>
        <v/>
      </c>
      <c r="F22" s="21">
        <f>Модель_ТЭО!V22</f>
        <v/>
      </c>
      <c r="G22" s="26">
        <f>Модель_ТЭО!AA22</f>
        <v/>
      </c>
      <c r="H22" s="30">
        <f>IF(G22&gt;0,E22/G22,"—")</f>
        <v/>
      </c>
    </row>
    <row r="23">
      <c r="A23" s="12" t="n">
        <v>20</v>
      </c>
      <c r="B23" s="13" t="inlineStr">
        <is>
          <t>Коврик под офисное кресло (защита пола), XL</t>
        </is>
      </c>
      <c r="C23" s="16" t="n">
        <v>200</v>
      </c>
      <c r="D23" s="21">
        <f>Модель_ТЭО!N23</f>
        <v/>
      </c>
      <c r="E23" s="26">
        <f>C23*D23</f>
        <v/>
      </c>
      <c r="F23" s="21">
        <f>Модель_ТЭО!V23</f>
        <v/>
      </c>
      <c r="G23" s="26">
        <f>Модель_ТЭО!AA23</f>
        <v/>
      </c>
      <c r="H23" s="30">
        <f>IF(G23&gt;0,E23/G23,"—")</f>
        <v/>
      </c>
    </row>
    <row r="24">
      <c r="A24" s="27" t="n"/>
      <c r="B24" s="28" t="inlineStr">
        <is>
          <t>ИТОГО закупка (оборотный капитал)</t>
        </is>
      </c>
      <c r="C24" s="27" t="n"/>
      <c r="D24" s="27" t="n"/>
      <c r="E24" s="29">
        <f>SUM(E4:E23)</f>
        <v/>
      </c>
      <c r="F24" s="27" t="n"/>
      <c r="G24" s="29">
        <f>SUM(G4:G23)</f>
        <v/>
      </c>
      <c r="H24" s="27" t="n"/>
    </row>
    <row r="26">
      <c r="B26" s="31" t="inlineStr">
        <is>
          <t>БЮДЖЕТ ЗАПУСКА (единовременно), AED</t>
        </is>
      </c>
    </row>
    <row r="27">
      <c r="B27" s="3" t="inlineStr">
        <is>
          <t>Фотоконтент + A+ листинги (20 SKU)</t>
        </is>
      </c>
      <c r="E27" s="32" t="n">
        <v>18000</v>
      </c>
    </row>
    <row r="28">
      <c r="B28" s="3" t="inlineStr">
        <is>
          <t>Образцы + инспекция качества (QC)</t>
        </is>
      </c>
      <c r="E28" s="32" t="n">
        <v>14000</v>
      </c>
    </row>
    <row r="29">
      <c r="B29" s="3" t="inlineStr">
        <is>
          <t>Сертификация/регистрация (ESMA/G-mark, бренд)</t>
        </is>
      </c>
      <c r="E29" s="32" t="n">
        <v>22000</v>
      </c>
    </row>
    <row r="30">
      <c r="B30" s="3" t="inlineStr">
        <is>
          <t>Стартовая реклама PPC (буфер сверх юнит-экономики)</t>
        </is>
      </c>
      <c r="E30" s="32" t="n">
        <v>60000</v>
      </c>
    </row>
    <row r="31">
      <c r="B31" s="3" t="inlineStr">
        <is>
          <t>Логистика первой партии (буфер/страховка)</t>
        </is>
      </c>
      <c r="E31" s="32" t="n">
        <v>15000</v>
      </c>
    </row>
    <row r="32">
      <c r="B32" s="3" t="inlineStr">
        <is>
          <t>Резерв 10%</t>
        </is>
      </c>
      <c r="E32" s="32">
        <f>ROUND(SUM(E27:E31)*0.1,0)</f>
        <v/>
      </c>
    </row>
    <row r="33">
      <c r="B33" s="2" t="inlineStr">
        <is>
          <t>Итого бюджет запуска</t>
        </is>
      </c>
      <c r="E33" s="33">
        <f>SUM(E27:E32)</f>
        <v/>
      </c>
    </row>
    <row r="35">
      <c r="B35" s="2" t="inlineStr">
        <is>
          <t>ИТОГО СТАРТОВЫЕ ИНВЕСТИЦИИ (закупка + запуск), AED</t>
        </is>
      </c>
      <c r="E35" s="34">
        <f>E24+E33</f>
        <v/>
      </c>
    </row>
    <row r="36">
      <c r="B36" s="3" t="inlineStr">
        <is>
          <t>в USD</t>
        </is>
      </c>
      <c r="E36" s="35">
        <f>E35/USD_AED</f>
        <v/>
      </c>
    </row>
    <row r="37">
      <c r="B37" s="2" t="inlineStr">
        <is>
          <t>Потенциал EBITDA/мес (полный разгон), AED</t>
        </is>
      </c>
      <c r="E37" s="36">
        <f>G24</f>
        <v/>
      </c>
    </row>
    <row r="38">
      <c r="B38" s="3" t="inlineStr">
        <is>
          <t>Прибыль после налога ОАЭ 9% (в мес), AED</t>
        </is>
      </c>
      <c r="E38" s="26">
        <f>G24*(1-CIT)</f>
        <v/>
      </c>
    </row>
    <row r="39">
      <c r="B39" s="2" t="inlineStr">
        <is>
          <t>Окупаемость стартовых инвестиций, мес</t>
        </is>
      </c>
      <c r="E39" s="37">
        <f>E35/(G24*(1-CIT))</f>
        <v/>
      </c>
    </row>
    <row r="40">
      <c r="B40" s="3" t="inlineStr">
        <is>
          <t>ROI за 12 мес (годовая EBITDA после налога / инвестиции)</t>
        </is>
      </c>
      <c r="E40" s="38">
        <f>G24*(1-CIT)*12/E35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39" t="inlineStr">
        <is>
          <t>СПРАВОЧНО: ориентировочная шкала FBA-сборов Amazon.ae (AED, 2026). Значения перенесите в столбец 'FBA AED/шт'.</t>
        </is>
      </c>
    </row>
    <row r="3">
      <c r="A3" s="31" t="inlineStr">
        <is>
          <t>Тариф/категория</t>
        </is>
      </c>
      <c r="B3" s="31" t="inlineStr">
        <is>
          <t>AED/шт</t>
        </is>
      </c>
    </row>
    <row r="4">
      <c r="A4" s="40" t="inlineStr">
        <is>
          <t>Стандарт ≤250 г</t>
        </is>
      </c>
      <c r="B4" s="21" t="n">
        <v>7.2</v>
      </c>
    </row>
    <row r="5">
      <c r="A5" s="40" t="inlineStr">
        <is>
          <t>Стандарт ≤500 г</t>
        </is>
      </c>
      <c r="B5" s="21" t="n">
        <v>8.5</v>
      </c>
    </row>
    <row r="6">
      <c r="A6" s="40" t="inlineStr">
        <is>
          <t>Стандарт ≤1 кг</t>
        </is>
      </c>
      <c r="B6" s="21" t="n">
        <v>11</v>
      </c>
    </row>
    <row r="7">
      <c r="A7" s="40" t="inlineStr">
        <is>
          <t>Стандарт ≤2 кг</t>
        </is>
      </c>
      <c r="B7" s="21" t="n">
        <v>14.5</v>
      </c>
    </row>
    <row r="8">
      <c r="A8" s="40" t="inlineStr">
        <is>
          <t>Стандарт ≤3 кг</t>
        </is>
      </c>
      <c r="B8" s="21" t="n">
        <v>16.5</v>
      </c>
    </row>
    <row r="9">
      <c r="A9" s="40" t="inlineStr">
        <is>
          <t>Стандарт ≤5 кг</t>
        </is>
      </c>
      <c r="B9" s="21" t="n">
        <v>18.5</v>
      </c>
    </row>
    <row r="10">
      <c r="A10" s="40" t="inlineStr">
        <is>
          <t>Стандарт ≤9 кг</t>
        </is>
      </c>
      <c r="B10" s="21" t="n">
        <v>20</v>
      </c>
    </row>
    <row r="11">
      <c r="A11" s="40" t="inlineStr">
        <is>
          <t>Стандарт ≤12 кг</t>
        </is>
      </c>
      <c r="B11" s="21" t="n">
        <v>21.5</v>
      </c>
    </row>
    <row r="12">
      <c r="A12" s="40" t="inlineStr">
        <is>
          <t>Крупногабарит ≤2 кг</t>
        </is>
      </c>
      <c r="B12" s="21" t="n">
        <v>25</v>
      </c>
    </row>
    <row r="13">
      <c r="A13" s="40" t="inlineStr">
        <is>
          <t>Крупногабарит ≤5 кг</t>
        </is>
      </c>
      <c r="B13" s="21" t="n">
        <v>32</v>
      </c>
    </row>
    <row r="14">
      <c r="A14" s="40" t="inlineStr">
        <is>
          <t>Крупногабарит ≤10 кг</t>
        </is>
      </c>
      <c r="B14" s="21" t="n">
        <v>41.5</v>
      </c>
    </row>
    <row r="15">
      <c r="A15" s="40" t="inlineStr">
        <is>
          <t>Тяж./объём ≤15 кг</t>
        </is>
      </c>
      <c r="B15" s="21" t="n">
        <v>60</v>
      </c>
    </row>
    <row r="16">
      <c r="A16" s="40" t="inlineStr">
        <is>
          <t>Тяж./объём ≤20 кг</t>
        </is>
      </c>
      <c r="B16" s="21" t="n">
        <v>78</v>
      </c>
    </row>
    <row r="17">
      <c r="A17" s="40" t="inlineStr">
        <is>
          <t>Тяж./объём ≤25 кг</t>
        </is>
      </c>
      <c r="B17" s="21" t="n">
        <v>92</v>
      </c>
    </row>
    <row r="18">
      <c r="A18" s="40" t="inlineStr">
        <is>
          <t>Тяж./объём ≤30 кг</t>
        </is>
      </c>
      <c r="B18" s="21" t="n">
        <v>108</v>
      </c>
    </row>
    <row r="19">
      <c r="A19" s="40" t="inlineStr">
        <is>
          <t>Тяж./объём &gt;30 кг</t>
        </is>
      </c>
      <c r="B19" s="40" t="inlineStr">
        <is>
          <t>108 + 3/кг сверх 30</t>
        </is>
      </c>
    </row>
    <row r="21">
      <c r="A21" s="3" t="inlineStr">
        <is>
          <t>Referral (комиссия) Home &amp; Kitchen: 8% при цене ≤50 AED, 15% при &gt;50 AED.</t>
        </is>
      </c>
    </row>
    <row r="22">
      <c r="A22" s="3" t="inlineStr">
        <is>
          <t>НДС ОАЭ 5% включён в розничную цену (выделяется в модели).</t>
        </is>
      </c>
    </row>
    <row r="23">
      <c r="A23" s="3" t="inlineStr">
        <is>
          <t>Пошлина ОАЭ 5% от CIF (FOB+фрахт).</t>
        </is>
      </c>
    </row>
    <row r="24">
      <c r="A24" s="3" t="inlineStr">
        <is>
          <t>Пороги стандарт/крупногабарит зависят и от габаритов (длиннейшая сторона &gt;45 см → крупногабарит).</t>
        </is>
      </c>
    </row>
    <row r="25">
      <c r="A25" s="3" t="inlineStr">
        <is>
          <t>Точные тарифы — в FBA Revenue Calculator в Seller Central .ae (после входа).</t>
        </is>
      </c>
    </row>
  </sheetData>
  <mergeCells count="6">
    <mergeCell ref="A21:E21"/>
    <mergeCell ref="A1:D1"/>
    <mergeCell ref="A24:E24"/>
    <mergeCell ref="A25:E25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2026-07-09T08:30:12Z</dcterms:created>
  <dcterms:modified xmlns:dcterms="http://purl.org/dc/terms/" xmlns:xsi="http://www.w3.org/2001/XMLSchema-instance" xsi:type="dcterms:W3CDTF">2026-07-09T08:30:12Z</dcterms:modified>
</cp:coreProperties>
</file>