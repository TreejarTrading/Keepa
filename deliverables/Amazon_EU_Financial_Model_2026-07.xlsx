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Модель SKU" sheetId="2" state="visible" r:id="rId2"/>
    <sheet xmlns:r="http://schemas.openxmlformats.org/officeDocument/2006/relationships" name="Сценарии" sheetId="3" state="visible" r:id="rId3"/>
    <sheet xmlns:r="http://schemas.openxmlformats.org/officeDocument/2006/relationships" name="P&amp;L пилота" sheetId="4" state="visible" r:id="rId4"/>
    <sheet xmlns:r="http://schemas.openxmlformats.org/officeDocument/2006/relationships" name="Cash-flow пла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 ##0"/>
  </numFmts>
  <fonts count="6">
    <font>
      <name val="Calibri"/>
      <family val="2"/>
      <color theme="1"/>
      <sz val="11"/>
      <scheme val="minor"/>
    </font>
    <font>
      <b val="1"/>
      <color rgb="005C6470"/>
      <sz val="9"/>
    </font>
    <font>
      <i val="1"/>
      <color rgb="005C6470"/>
      <sz val="9"/>
    </font>
    <font>
      <b val="1"/>
      <color rgb="0020242B"/>
    </font>
    <font>
      <color rgb="00A8402C"/>
      <sz val="9"/>
    </font>
    <font>
      <color rgb="001F7D54"/>
      <sz val="9"/>
    </font>
  </fonts>
  <fills count="8">
    <fill>
      <patternFill/>
    </fill>
    <fill>
      <patternFill patternType="gray125"/>
    </fill>
    <fill>
      <patternFill patternType="solid">
        <fgColor rgb="00F2EFE7"/>
      </patternFill>
    </fill>
    <fill>
      <patternFill patternType="solid">
        <fgColor rgb="00FFF3D6"/>
      </patternFill>
    </fill>
    <fill>
      <patternFill patternType="solid">
        <fgColor rgb="00F7EAD0"/>
      </patternFill>
    </fill>
    <fill>
      <patternFill patternType="solid">
        <fgColor rgb="00EFF5EF"/>
      </patternFill>
    </fill>
    <fill>
      <patternFill patternType="solid">
        <fgColor rgb="00EAE8E1"/>
      </patternFill>
    </fill>
    <fill>
      <patternFill patternType="solid">
        <fgColor rgb="00E2ECF5"/>
      </patternFill>
    </fill>
  </fills>
  <borders count="2">
    <border>
      <left/>
      <right/>
      <top/>
      <bottom/>
      <diagonal/>
    </border>
    <border>
      <left style="thin">
        <color rgb="00D9D5CA"/>
      </left>
      <right style="thin">
        <color rgb="00D9D5CA"/>
      </right>
      <top style="thin">
        <color rgb="00D9D5CA"/>
      </top>
      <bottom style="thin">
        <color rgb="00D9D5C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2" fontId="0" fillId="3" borderId="1" pivotButton="0" quotePrefix="0" xfId="0"/>
    <xf numFmtId="0" fontId="2" fillId="0" borderId="0" pivotButton="0" quotePrefix="0" xfId="0"/>
    <xf numFmtId="0" fontId="0" fillId="4" borderId="1" pivotButton="0" quotePrefix="0" xfId="0"/>
    <xf numFmtId="164" fontId="0" fillId="3" borderId="1" pivotButton="0" quotePrefix="0" xfId="0"/>
    <xf numFmtId="2" fontId="0" fillId="5" borderId="1" pivotButton="0" quotePrefix="0" xfId="0"/>
    <xf numFmtId="164" fontId="0" fillId="5" borderId="1" pivotButton="0" quotePrefix="0" xfId="0"/>
    <xf numFmtId="0" fontId="0" fillId="3" borderId="1" pivotButton="0" quotePrefix="0" xfId="0"/>
    <xf numFmtId="165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3" fillId="2" borderId="0" pivotButton="0" quotePrefix="0" xfId="0"/>
    <xf numFmtId="165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5" borderId="1" pivotButton="0" quotePrefix="0" xfId="0"/>
    <xf numFmtId="9" fontId="0" fillId="5" borderId="1" pivotButton="0" quotePrefix="0" xfId="0"/>
    <xf numFmtId="0" fontId="3" fillId="2" borderId="1" pivotButton="0" quotePrefix="0" xfId="0"/>
    <xf numFmtId="165" fontId="3" fillId="2" borderId="1" pivotButton="0" quotePrefix="0" xfId="0"/>
    <xf numFmtId="9" fontId="3" fillId="2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46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Комментарий</t>
        </is>
      </c>
    </row>
    <row r="2">
      <c r="A2" s="2" t="inlineStr">
        <is>
          <t>Курс USD→EUR</t>
        </is>
      </c>
      <c r="B2" s="3" t="n">
        <v>0.92</v>
      </c>
      <c r="C2" s="2" t="inlineStr">
        <is>
          <t>консервативный</t>
        </is>
      </c>
    </row>
    <row r="3">
      <c r="A3" s="2" t="inlineStr">
        <is>
          <t>НДС Германия</t>
        </is>
      </c>
      <c r="B3" s="3" t="n">
        <v>0.19</v>
      </c>
      <c r="C3" s="2" t="inlineStr">
        <is>
          <t>изъят из розничной цены</t>
        </is>
      </c>
    </row>
    <row r="4">
      <c r="A4" s="2" t="inlineStr">
        <is>
          <t>Referral Amazon</t>
        </is>
      </c>
      <c r="B4" s="3" t="n">
        <v>0.15</v>
      </c>
      <c r="C4" s="2" t="inlineStr">
        <is>
          <t>категории портфеля</t>
        </is>
      </c>
    </row>
    <row r="5">
      <c r="A5" s="2" t="inlineStr">
        <is>
          <t>PPC по умолчанию (запуск)</t>
        </is>
      </c>
      <c r="B5" s="3" t="n">
        <v>0.12</v>
      </c>
      <c r="C5" s="2" t="inlineStr">
        <is>
          <t>Jura 10%, B2B 5% — заданы в листе Модель</t>
        </is>
      </c>
    </row>
    <row r="6">
      <c r="A6" s="2" t="inlineStr">
        <is>
          <t>Возвраты</t>
        </is>
      </c>
      <c r="B6" s="3" t="n">
        <v>0.02</v>
      </c>
      <c r="C6" s="2" t="inlineStr">
        <is>
          <t>% от цены</t>
        </is>
      </c>
    </row>
    <row r="7">
      <c r="A7" s="2" t="inlineStr">
        <is>
          <t>Преп/маркировка €/шт</t>
        </is>
      </c>
      <c r="B7" s="3" t="n">
        <v>0.3</v>
      </c>
      <c r="C7" s="2" t="inlineStr"/>
    </row>
    <row r="8">
      <c r="A8" s="2" t="inlineStr">
        <is>
          <t>QC/брак</t>
        </is>
      </c>
      <c r="B8" s="3" t="n">
        <v>0.03</v>
      </c>
      <c r="C8" s="2" t="inlineStr">
        <is>
          <t>% от FOB</t>
        </is>
      </c>
    </row>
    <row r="9">
      <c r="A9" s="2" t="inlineStr">
        <is>
          <t>Целевая маржа A</t>
        </is>
      </c>
      <c r="B9" s="3" t="n">
        <v>0.25</v>
      </c>
      <c r="C9" s="2" t="inlineStr">
        <is>
          <t>порог «Закупка ≤»</t>
        </is>
      </c>
    </row>
    <row r="10">
      <c r="A10" s="2" t="inlineStr">
        <is>
          <t>Целевая маржа B (минимум)</t>
        </is>
      </c>
      <c r="B10" s="3" t="n">
        <v>0.2</v>
      </c>
      <c r="C10" s="2" t="inlineStr">
        <is>
          <t>порог отмены SKU: &lt;15% на факт. landed</t>
        </is>
      </c>
    </row>
    <row r="11">
      <c r="A11" s="2" t="inlineStr">
        <is>
          <t>Разгон: доля цели в первые 90 дней</t>
        </is>
      </c>
      <c r="B11" s="3" t="n">
        <v>0.4</v>
      </c>
      <c r="C11" s="2" t="inlineStr">
        <is>
          <t>для P&amp;L пилота</t>
        </is>
      </c>
    </row>
    <row r="13">
      <c r="A13" s="4" t="inlineStr">
        <is>
          <t>Желтые ячейки — редактируйте (параметры и котировки). Зеленоватые — формулы, пересчет автоматический.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8" customWidth="1" min="3" max="3"/>
    <col width="7" customWidth="1" min="4" max="4"/>
    <col width="7" customWidth="1" min="5" max="5"/>
    <col width="7" customWidth="1" min="6" max="6"/>
    <col width="11" customWidth="1" min="7" max="7"/>
    <col width="9" customWidth="1" min="8" max="8"/>
    <col width="9" customWidth="1" min="9" max="9"/>
    <col width="8" customWidth="1" min="10" max="10"/>
    <col width="9" customWidth="1" min="11" max="11"/>
    <col width="8" customWidth="1" min="12" max="12"/>
    <col width="9" customWidth="1" min="13" max="13"/>
    <col width="9" customWidth="1" min="14" max="14"/>
    <col width="11" customWidth="1" min="15" max="15"/>
    <col width="8" customWidth="1" min="16" max="16"/>
    <col width="8" customWidth="1" min="17" max="17"/>
    <col width="10" customWidth="1" min="18" max="18"/>
    <col width="10" customWidth="1" min="19" max="19"/>
    <col width="10" customWidth="1" min="20" max="20"/>
    <col width="9" customWidth="1" min="21" max="21"/>
    <col width="9" customWidth="1" min="22" max="22"/>
    <col width="11" customWidth="1" min="23" max="23"/>
  </cols>
  <sheetData>
    <row r="1">
      <c r="A1" s="1" t="inlineStr">
        <is>
          <t>SKU</t>
        </is>
      </c>
      <c r="B1" s="1" t="inlineStr">
        <is>
          <t>Волна</t>
        </is>
      </c>
      <c r="C1" s="1" t="inlineStr">
        <is>
          <t>Цена €</t>
        </is>
      </c>
      <c r="D1" s="1" t="inlineStr">
        <is>
          <t>FBA €</t>
        </is>
      </c>
      <c r="E1" s="1" t="inlineStr">
        <is>
          <t>Хран. €</t>
        </is>
      </c>
      <c r="F1" s="1" t="inlineStr">
        <is>
          <t>PPC %</t>
        </is>
      </c>
      <c r="G1" s="1" t="inlineStr">
        <is>
          <t>FOB $ (котировка)</t>
        </is>
      </c>
      <c r="H1" s="1" t="inlineStr">
        <is>
          <t>Фрахт €/шт</t>
        </is>
      </c>
      <c r="I1" s="1" t="inlineStr">
        <is>
          <t>Пошлина %</t>
        </is>
      </c>
      <c r="J1" s="1" t="inlineStr">
        <is>
          <t>Нетто €</t>
        </is>
      </c>
      <c r="K1" s="1" t="inlineStr">
        <is>
          <t>Referral €</t>
        </is>
      </c>
      <c r="L1" s="1" t="inlineStr">
        <is>
          <t>PPC €</t>
        </is>
      </c>
      <c r="M1" s="1" t="inlineStr">
        <is>
          <t>Возвраты €</t>
        </is>
      </c>
      <c r="N1" s="1" t="inlineStr">
        <is>
          <t>Landed €</t>
        </is>
      </c>
      <c r="O1" s="1" t="inlineStr">
        <is>
          <t>Прибыль €/шт</t>
        </is>
      </c>
      <c r="P1" s="1" t="inlineStr">
        <is>
          <t>Маржа %</t>
        </is>
      </c>
      <c r="Q1" s="1" t="inlineStr">
        <is>
          <t>ROI %</t>
        </is>
      </c>
      <c r="R1" s="1" t="inlineStr">
        <is>
          <t>FOB ≤ (25%)</t>
        </is>
      </c>
      <c r="S1" s="1" t="inlineStr">
        <is>
          <t>FOB ≤ (20%)</t>
        </is>
      </c>
      <c r="T1" s="1" t="inlineStr">
        <is>
          <t>Безубыток €</t>
        </is>
      </c>
      <c r="U1" s="1" t="inlineStr">
        <is>
          <t>Партия, шт</t>
        </is>
      </c>
      <c r="V1" s="1" t="inlineStr">
        <is>
          <t>Цель, шт/мес</t>
        </is>
      </c>
      <c r="W1" s="1" t="inlineStr">
        <is>
          <t>Прибыль €/мес</t>
        </is>
      </c>
    </row>
    <row r="2">
      <c r="A2" s="2" t="inlineStr">
        <is>
          <t>Фильтр Jura RFID 6er</t>
        </is>
      </c>
      <c r="B2" s="5" t="inlineStr">
        <is>
          <t>В1</t>
        </is>
      </c>
      <c r="C2" s="3" t="n">
        <v>42.99</v>
      </c>
      <c r="D2" s="3" t="n">
        <v>3.46</v>
      </c>
      <c r="E2" s="3" t="n">
        <v>0.4</v>
      </c>
      <c r="F2" s="6" t="n">
        <v>0.1</v>
      </c>
      <c r="G2" s="3" t="n">
        <v>10</v>
      </c>
      <c r="H2" s="3" t="n">
        <v>0.5</v>
      </c>
      <c r="I2" s="6" t="n">
        <v>0.035</v>
      </c>
      <c r="J2" s="7">
        <f>C2/(1+Параметры!$B$3)</f>
        <v/>
      </c>
      <c r="K2" s="7">
        <f>C2*Параметры!$B$4</f>
        <v/>
      </c>
      <c r="L2" s="7">
        <f>C2*F2</f>
        <v/>
      </c>
      <c r="M2" s="7">
        <f>C2*Параметры!$B$6</f>
        <v/>
      </c>
      <c r="N2" s="7">
        <f>G2*Параметры!$B$2*(1+I2+Параметры!$B$8)+H2+Параметры!$B$7</f>
        <v/>
      </c>
      <c r="O2" s="7">
        <f>J2-K2-D2-E2-L2-M2-N2</f>
        <v/>
      </c>
      <c r="P2" s="8">
        <f>O2/C2</f>
        <v/>
      </c>
      <c r="Q2" s="8">
        <f>O2/N2</f>
        <v/>
      </c>
      <c r="R2" s="7">
        <f>(J2-K2-D2-E2-L2-M2-Параметры!$B$9*C2-H2-Параметры!$B$7)/(Параметры!$B$2*(1+I2+Параметры!$B$8))</f>
        <v/>
      </c>
      <c r="S2" s="7">
        <f>(J2-K2-D2-E2-L2-M2-Параметры!$B$10*C2-H2-Параметры!$B$7)/(Параметры!$B$2*(1+I2+Параметры!$B$8))</f>
        <v/>
      </c>
      <c r="T2" s="7">
        <f>(D2+E2+N2)/(1/(1+Параметры!$B$3)-(Параметры!$B$4+F2+Параметры!$B$6))</f>
        <v/>
      </c>
      <c r="U2" s="9" t="n">
        <v>500</v>
      </c>
      <c r="V2" s="9" t="n">
        <v>500</v>
      </c>
      <c r="W2" s="10">
        <f>O2*V2</f>
        <v/>
      </c>
    </row>
    <row r="3">
      <c r="A3" s="2" t="inlineStr">
        <is>
          <t>Фильтр DeLonghi 6er</t>
        </is>
      </c>
      <c r="B3" s="5" t="inlineStr">
        <is>
          <t>В1</t>
        </is>
      </c>
      <c r="C3" s="3" t="n">
        <v>24.99</v>
      </c>
      <c r="D3" s="3" t="n">
        <v>3.47</v>
      </c>
      <c r="E3" s="3" t="n">
        <v>0.4</v>
      </c>
      <c r="F3" s="6" t="n">
        <v>0.12</v>
      </c>
      <c r="G3" s="3" t="n">
        <v>4</v>
      </c>
      <c r="H3" s="3" t="n">
        <v>0.5</v>
      </c>
      <c r="I3" s="6" t="n">
        <v>0.035</v>
      </c>
      <c r="J3" s="7">
        <f>C3/(1+Параметры!$B$3)</f>
        <v/>
      </c>
      <c r="K3" s="7">
        <f>C3*Параметры!$B$4</f>
        <v/>
      </c>
      <c r="L3" s="7">
        <f>C3*F3</f>
        <v/>
      </c>
      <c r="M3" s="7">
        <f>C3*Параметры!$B$6</f>
        <v/>
      </c>
      <c r="N3" s="7">
        <f>G3*Параметры!$B$2*(1+I3+Параметры!$B$8)+H3+Параметры!$B$7</f>
        <v/>
      </c>
      <c r="O3" s="7">
        <f>J3-K3-D3-E3-L3-M3-N3</f>
        <v/>
      </c>
      <c r="P3" s="8">
        <f>O3/C3</f>
        <v/>
      </c>
      <c r="Q3" s="8">
        <f>O3/N3</f>
        <v/>
      </c>
      <c r="R3" s="7">
        <f>(J3-K3-D3-E3-L3-M3-Параметры!$B$9*C3-H3-Параметры!$B$7)/(Параметры!$B$2*(1+I3+Параметры!$B$8))</f>
        <v/>
      </c>
      <c r="S3" s="7">
        <f>(J3-K3-D3-E3-L3-M3-Параметры!$B$10*C3-H3-Параметры!$B$7)/(Параметры!$B$2*(1+I3+Параметры!$B$8))</f>
        <v/>
      </c>
      <c r="T3" s="7">
        <f>(D3+E3+N3)/(1/(1+Параметры!$B$3)-(Параметры!$B$4+F3+Параметры!$B$6))</f>
        <v/>
      </c>
      <c r="U3" s="9" t="n">
        <v>500</v>
      </c>
      <c r="V3" s="9" t="n">
        <v>600</v>
      </c>
      <c r="W3" s="10">
        <f>O3*V3</f>
        <v/>
      </c>
    </row>
    <row r="4">
      <c r="A4" s="2" t="inlineStr">
        <is>
          <t>Kühltasche 40L</t>
        </is>
      </c>
      <c r="B4" s="5" t="inlineStr">
        <is>
          <t>В1</t>
        </is>
      </c>
      <c r="C4" s="3" t="n">
        <v>34.99</v>
      </c>
      <c r="D4" s="3" t="n">
        <v>4.59</v>
      </c>
      <c r="E4" s="3" t="n">
        <v>0.45</v>
      </c>
      <c r="F4" s="6" t="n">
        <v>0.12</v>
      </c>
      <c r="G4" s="3" t="n">
        <v>4.5</v>
      </c>
      <c r="H4" s="3" t="n">
        <v>0.9</v>
      </c>
      <c r="I4" s="6" t="n">
        <v>0.097</v>
      </c>
      <c r="J4" s="7">
        <f>C4/(1+Параметры!$B$3)</f>
        <v/>
      </c>
      <c r="K4" s="7">
        <f>C4*Параметры!$B$4</f>
        <v/>
      </c>
      <c r="L4" s="7">
        <f>C4*F4</f>
        <v/>
      </c>
      <c r="M4" s="7">
        <f>C4*Параметры!$B$6</f>
        <v/>
      </c>
      <c r="N4" s="7">
        <f>G4*Параметры!$B$2*(1+I4+Параметры!$B$8)+H4+Параметры!$B$7</f>
        <v/>
      </c>
      <c r="O4" s="7">
        <f>J4-K4-D4-E4-L4-M4-N4</f>
        <v/>
      </c>
      <c r="P4" s="8">
        <f>O4/C4</f>
        <v/>
      </c>
      <c r="Q4" s="8">
        <f>O4/N4</f>
        <v/>
      </c>
      <c r="R4" s="7">
        <f>(J4-K4-D4-E4-L4-M4-Параметры!$B$9*C4-H4-Параметры!$B$7)/(Параметры!$B$2*(1+I4+Параметры!$B$8))</f>
        <v/>
      </c>
      <c r="S4" s="7">
        <f>(J4-K4-D4-E4-L4-M4-Параметры!$B$10*C4-H4-Параметры!$B$7)/(Параметры!$B$2*(1+I4+Параметры!$B$8))</f>
        <v/>
      </c>
      <c r="T4" s="7">
        <f>(D4+E4+N4)/(1/(1+Параметры!$B$3)-(Параметры!$B$4+F4+Параметры!$B$6))</f>
        <v/>
      </c>
      <c r="U4" s="9" t="n">
        <v>500</v>
      </c>
      <c r="V4" s="9" t="n">
        <v>300</v>
      </c>
      <c r="W4" s="10">
        <f>O4*V4</f>
        <v/>
      </c>
    </row>
    <row r="5">
      <c r="A5" s="2" t="inlineStr">
        <is>
          <t>Brotbeutel 2er</t>
        </is>
      </c>
      <c r="B5" s="5" t="inlineStr">
        <is>
          <t>В1</t>
        </is>
      </c>
      <c r="C5" s="3" t="n">
        <v>19.99</v>
      </c>
      <c r="D5" s="3" t="n">
        <v>3.08</v>
      </c>
      <c r="E5" s="3" t="n">
        <v>0.35</v>
      </c>
      <c r="F5" s="6" t="n">
        <v>0.12</v>
      </c>
      <c r="G5" s="3" t="n">
        <v>2.2</v>
      </c>
      <c r="H5" s="3" t="n">
        <v>0.4</v>
      </c>
      <c r="I5" s="6" t="n">
        <v>0.12</v>
      </c>
      <c r="J5" s="7">
        <f>C5/(1+Параметры!$B$3)</f>
        <v/>
      </c>
      <c r="K5" s="7">
        <f>C5*Параметры!$B$4</f>
        <v/>
      </c>
      <c r="L5" s="7">
        <f>C5*F5</f>
        <v/>
      </c>
      <c r="M5" s="7">
        <f>C5*Параметры!$B$6</f>
        <v/>
      </c>
      <c r="N5" s="7">
        <f>G5*Параметры!$B$2*(1+I5+Параметры!$B$8)+H5+Параметры!$B$7</f>
        <v/>
      </c>
      <c r="O5" s="7">
        <f>J5-K5-D5-E5-L5-M5-N5</f>
        <v/>
      </c>
      <c r="P5" s="8">
        <f>O5/C5</f>
        <v/>
      </c>
      <c r="Q5" s="8">
        <f>O5/N5</f>
        <v/>
      </c>
      <c r="R5" s="7">
        <f>(J5-K5-D5-E5-L5-M5-Параметры!$B$9*C5-H5-Параметры!$B$7)/(Параметры!$B$2*(1+I5+Параметры!$B$8))</f>
        <v/>
      </c>
      <c r="S5" s="7">
        <f>(J5-K5-D5-E5-L5-M5-Параметры!$B$10*C5-H5-Параметры!$B$7)/(Параметры!$B$2*(1+I5+Параметры!$B$8))</f>
        <v/>
      </c>
      <c r="T5" s="7">
        <f>(D5+E5+N5)/(1/(1+Параметры!$B$3)-(Параметры!$B$4+F5+Параметры!$B$6))</f>
        <v/>
      </c>
      <c r="U5" s="9" t="n">
        <v>500</v>
      </c>
      <c r="V5" s="9" t="n">
        <v>180</v>
      </c>
      <c r="W5" s="10">
        <f>O5*V5</f>
        <v/>
      </c>
    </row>
    <row r="6">
      <c r="A6" s="2" t="inlineStr">
        <is>
          <t>TV-стенд CT7501</t>
        </is>
      </c>
      <c r="B6" s="11" t="inlineStr">
        <is>
          <t>Страт</t>
        </is>
      </c>
      <c r="C6" s="3" t="n">
        <v>149.99</v>
      </c>
      <c r="D6" s="3" t="n">
        <v>14.11</v>
      </c>
      <c r="E6" s="3" t="n">
        <v>3.5</v>
      </c>
      <c r="F6" s="6" t="n">
        <v>0.1</v>
      </c>
      <c r="G6" s="3" t="n">
        <v>29.7</v>
      </c>
      <c r="H6" s="3" t="n">
        <v>3.3</v>
      </c>
      <c r="I6" s="6" t="n">
        <v>0</v>
      </c>
      <c r="J6" s="7">
        <f>C6/(1+Параметры!$B$3)</f>
        <v/>
      </c>
      <c r="K6" s="7">
        <f>C6*Параметры!$B$4</f>
        <v/>
      </c>
      <c r="L6" s="7">
        <f>C6*F6</f>
        <v/>
      </c>
      <c r="M6" s="7">
        <f>C6*Параметры!$B$6</f>
        <v/>
      </c>
      <c r="N6" s="7">
        <f>G6*Параметры!$B$2*(1+I6+Параметры!$B$8)+H6+Параметры!$B$7</f>
        <v/>
      </c>
      <c r="O6" s="7">
        <f>J6-K6-D6-E6-L6-M6-N6</f>
        <v/>
      </c>
      <c r="P6" s="8">
        <f>O6/C6</f>
        <v/>
      </c>
      <c r="Q6" s="8">
        <f>O6/N6</f>
        <v/>
      </c>
      <c r="R6" s="7">
        <f>(J6-K6-D6-E6-L6-M6-Параметры!$B$9*C6-H6-Параметры!$B$7)/(Параметры!$B$2*(1+I6+Параметры!$B$8))</f>
        <v/>
      </c>
      <c r="S6" s="7">
        <f>(J6-K6-D6-E6-L6-M6-Параметры!$B$10*C6-H6-Параметры!$B$7)/(Параметры!$B$2*(1+I6+Параметры!$B$8))</f>
        <v/>
      </c>
      <c r="T6" s="7">
        <f>(D6+E6+N6)/(1/(1+Параметры!$B$3)-(Параметры!$B$4+F6+Параметры!$B$6))</f>
        <v/>
      </c>
      <c r="U6" s="9" t="n">
        <v>200</v>
      </c>
      <c r="V6" s="9" t="n">
        <v>75</v>
      </c>
      <c r="W6" s="10">
        <f>O6*V6</f>
        <v/>
      </c>
    </row>
    <row r="7">
      <c r="A7" s="2" t="inlineStr">
        <is>
          <t>Картотека ZY-3</t>
        </is>
      </c>
      <c r="B7" s="11" t="inlineStr">
        <is>
          <t>Страт</t>
        </is>
      </c>
      <c r="C7" s="3" t="n">
        <v>219</v>
      </c>
      <c r="D7" s="3" t="n">
        <v>25</v>
      </c>
      <c r="E7" s="3" t="n">
        <v>5</v>
      </c>
      <c r="F7" s="6" t="n">
        <v>0.05</v>
      </c>
      <c r="G7" s="3" t="n">
        <v>45</v>
      </c>
      <c r="H7" s="3" t="n">
        <v>22</v>
      </c>
      <c r="I7" s="6" t="n">
        <v>0</v>
      </c>
      <c r="J7" s="7">
        <f>C7/(1+Параметры!$B$3)</f>
        <v/>
      </c>
      <c r="K7" s="7">
        <f>C7*Параметры!$B$4</f>
        <v/>
      </c>
      <c r="L7" s="7">
        <f>C7*F7</f>
        <v/>
      </c>
      <c r="M7" s="7">
        <f>C7*Параметры!$B$6</f>
        <v/>
      </c>
      <c r="N7" s="7">
        <f>G7*Параметры!$B$2*(1+I7+Параметры!$B$8)+H7+Параметры!$B$7</f>
        <v/>
      </c>
      <c r="O7" s="7">
        <f>J7-K7-D7-E7-L7-M7-N7</f>
        <v/>
      </c>
      <c r="P7" s="8">
        <f>O7/C7</f>
        <v/>
      </c>
      <c r="Q7" s="8">
        <f>O7/N7</f>
        <v/>
      </c>
      <c r="R7" s="7">
        <f>(J7-K7-D7-E7-L7-M7-Параметры!$B$9*C7-H7-Параметры!$B$7)/(Параметры!$B$2*(1+I7+Параметры!$B$8))</f>
        <v/>
      </c>
      <c r="S7" s="7">
        <f>(J7-K7-D7-E7-L7-M7-Параметры!$B$10*C7-H7-Параметры!$B$7)/(Параметры!$B$2*(1+I7+Параметры!$B$8))</f>
        <v/>
      </c>
      <c r="T7" s="7">
        <f>(D7+E7+N7)/(1/(1+Параметры!$B$3)-(Параметры!$B$4+F7+Параметры!$B$6))</f>
        <v/>
      </c>
      <c r="U7" s="9" t="n">
        <v>40</v>
      </c>
      <c r="V7" s="9" t="n">
        <v>21</v>
      </c>
      <c r="W7" s="10">
        <f>O7*V7</f>
        <v/>
      </c>
    </row>
    <row r="8">
      <c r="A8" s="2" t="inlineStr">
        <is>
          <t>Kirschentkerner</t>
        </is>
      </c>
      <c r="B8" s="12" t="inlineStr">
        <is>
          <t>В2</t>
        </is>
      </c>
      <c r="C8" s="3" t="n">
        <v>45.99</v>
      </c>
      <c r="D8" s="3" t="n">
        <v>3.86</v>
      </c>
      <c r="E8" s="3" t="n">
        <v>0.45</v>
      </c>
      <c r="F8" s="6" t="n">
        <v>0.12</v>
      </c>
      <c r="G8" s="3" t="n">
        <v>5</v>
      </c>
      <c r="H8" s="3" t="n">
        <v>0.7</v>
      </c>
      <c r="I8" s="6" t="n">
        <v>0.08500000000000001</v>
      </c>
      <c r="J8" s="7">
        <f>C8/(1+Параметры!$B$3)</f>
        <v/>
      </c>
      <c r="K8" s="7">
        <f>C8*Параметры!$B$4</f>
        <v/>
      </c>
      <c r="L8" s="7">
        <f>C8*F8</f>
        <v/>
      </c>
      <c r="M8" s="7">
        <f>C8*Параметры!$B$6</f>
        <v/>
      </c>
      <c r="N8" s="7">
        <f>G8*Параметры!$B$2*(1+I8+Параметры!$B$8)+H8+Параметры!$B$7</f>
        <v/>
      </c>
      <c r="O8" s="7">
        <f>J8-K8-D8-E8-L8-M8-N8</f>
        <v/>
      </c>
      <c r="P8" s="8">
        <f>O8/C8</f>
        <v/>
      </c>
      <c r="Q8" s="8">
        <f>O8/N8</f>
        <v/>
      </c>
      <c r="R8" s="7">
        <f>(J8-K8-D8-E8-L8-M8-Параметры!$B$9*C8-H8-Параметры!$B$7)/(Параметры!$B$2*(1+I8+Параметры!$B$8))</f>
        <v/>
      </c>
      <c r="S8" s="7">
        <f>(J8-K8-D8-E8-L8-M8-Параметры!$B$10*C8-H8-Параметры!$B$7)/(Параметры!$B$2*(1+I8+Параметры!$B$8))</f>
        <v/>
      </c>
      <c r="T8" s="7">
        <f>(D8+E8+N8)/(1/(1+Параметры!$B$3)-(Параметры!$B$4+F8+Параметры!$B$6))</f>
        <v/>
      </c>
      <c r="U8" s="9" t="n">
        <v>500</v>
      </c>
      <c r="V8" s="9" t="n">
        <v>400</v>
      </c>
      <c r="W8" s="10">
        <f>O8*V8</f>
        <v/>
      </c>
    </row>
    <row r="9">
      <c r="A9" s="2" t="inlineStr">
        <is>
          <t>Fliegengitter 4er</t>
        </is>
      </c>
      <c r="B9" s="12" t="inlineStr">
        <is>
          <t>В2</t>
        </is>
      </c>
      <c r="C9" s="3" t="n">
        <v>39.99</v>
      </c>
      <c r="D9" s="3" t="n">
        <v>5.48</v>
      </c>
      <c r="E9" s="3" t="n">
        <v>0.5</v>
      </c>
      <c r="F9" s="6" t="n">
        <v>0.12</v>
      </c>
      <c r="G9" s="3" t="n">
        <v>6.5</v>
      </c>
      <c r="H9" s="3" t="n">
        <v>1.25</v>
      </c>
      <c r="I9" s="6" t="n">
        <v>0.065</v>
      </c>
      <c r="J9" s="7">
        <f>C9/(1+Параметры!$B$3)</f>
        <v/>
      </c>
      <c r="K9" s="7">
        <f>C9*Параметры!$B$4</f>
        <v/>
      </c>
      <c r="L9" s="7">
        <f>C9*F9</f>
        <v/>
      </c>
      <c r="M9" s="7">
        <f>C9*Параметры!$B$6</f>
        <v/>
      </c>
      <c r="N9" s="7">
        <f>G9*Параметры!$B$2*(1+I9+Параметры!$B$8)+H9+Параметры!$B$7</f>
        <v/>
      </c>
      <c r="O9" s="7">
        <f>J9-K9-D9-E9-L9-M9-N9</f>
        <v/>
      </c>
      <c r="P9" s="8">
        <f>O9/C9</f>
        <v/>
      </c>
      <c r="Q9" s="8">
        <f>O9/N9</f>
        <v/>
      </c>
      <c r="R9" s="7">
        <f>(J9-K9-D9-E9-L9-M9-Параметры!$B$9*C9-H9-Параметры!$B$7)/(Параметры!$B$2*(1+I9+Параметры!$B$8))</f>
        <v/>
      </c>
      <c r="S9" s="7">
        <f>(J9-K9-D9-E9-L9-M9-Параметры!$B$10*C9-H9-Параметры!$B$7)/(Параметры!$B$2*(1+I9+Параметры!$B$8))</f>
        <v/>
      </c>
      <c r="T9" s="7">
        <f>(D9+E9+N9)/(1/(1+Параметры!$B$3)-(Параметры!$B$4+F9+Параметры!$B$6))</f>
        <v/>
      </c>
      <c r="U9" s="9" t="n">
        <v>500</v>
      </c>
      <c r="V9" s="9" t="n">
        <v>300</v>
      </c>
      <c r="W9" s="10">
        <f>O9*V9</f>
        <v/>
      </c>
    </row>
    <row r="10">
      <c r="A10" s="2" t="inlineStr">
        <is>
          <t>Kühldecke Arc-Chill</t>
        </is>
      </c>
      <c r="B10" s="12" t="inlineStr">
        <is>
          <t>В2</t>
        </is>
      </c>
      <c r="C10" s="3" t="n">
        <v>42.99</v>
      </c>
      <c r="D10" s="3" t="n">
        <v>4.42</v>
      </c>
      <c r="E10" s="3" t="n">
        <v>0.6</v>
      </c>
      <c r="F10" s="6" t="n">
        <v>0.12</v>
      </c>
      <c r="G10" s="3" t="n">
        <v>8.5</v>
      </c>
      <c r="H10" s="3" t="n">
        <v>1</v>
      </c>
      <c r="I10" s="6" t="n">
        <v>0.12</v>
      </c>
      <c r="J10" s="7">
        <f>C10/(1+Параметры!$B$3)</f>
        <v/>
      </c>
      <c r="K10" s="7">
        <f>C10*Параметры!$B$4</f>
        <v/>
      </c>
      <c r="L10" s="7">
        <f>C10*F10</f>
        <v/>
      </c>
      <c r="M10" s="7">
        <f>C10*Параметры!$B$6</f>
        <v/>
      </c>
      <c r="N10" s="7">
        <f>G10*Параметры!$B$2*(1+I10+Параметры!$B$8)+H10+Параметры!$B$7</f>
        <v/>
      </c>
      <c r="O10" s="7">
        <f>J10-K10-D10-E10-L10-M10-N10</f>
        <v/>
      </c>
      <c r="P10" s="8">
        <f>O10/C10</f>
        <v/>
      </c>
      <c r="Q10" s="8">
        <f>O10/N10</f>
        <v/>
      </c>
      <c r="R10" s="7">
        <f>(J10-K10-D10-E10-L10-M10-Параметры!$B$9*C10-H10-Параметры!$B$7)/(Параметры!$B$2*(1+I10+Параметры!$B$8))</f>
        <v/>
      </c>
      <c r="S10" s="7">
        <f>(J10-K10-D10-E10-L10-M10-Параметры!$B$10*C10-H10-Параметры!$B$7)/(Параметры!$B$2*(1+I10+Параметры!$B$8))</f>
        <v/>
      </c>
      <c r="T10" s="7">
        <f>(D10+E10+N10)/(1/(1+Параметры!$B$3)-(Параметры!$B$4+F10+Параметры!$B$6))</f>
        <v/>
      </c>
      <c r="U10" s="9" t="n">
        <v>300</v>
      </c>
      <c r="V10" s="9" t="n">
        <v>225</v>
      </c>
      <c r="W10" s="10">
        <f>O10*V10</f>
        <v/>
      </c>
    </row>
    <row r="11">
      <c r="A11" s="13" t="inlineStr">
        <is>
          <t>ИТОГО портфель</t>
        </is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4">
        <f>SUM(W2:W10)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7" customWidth="1" min="3" max="3"/>
    <col width="7" customWidth="1" min="4" max="4"/>
    <col width="8" customWidth="1" min="5" max="5"/>
    <col width="9" customWidth="1" min="6" max="6"/>
    <col width="9" customWidth="1" min="7" max="7"/>
    <col width="9" customWidth="1" min="8" max="8"/>
    <col width="11" customWidth="1" min="9" max="9"/>
    <col width="9" customWidth="1" min="10" max="10"/>
    <col width="13" customWidth="1" min="11" max="11"/>
  </cols>
  <sheetData>
    <row r="1">
      <c r="A1" s="1" t="inlineStr">
        <is>
          <t>SKU</t>
        </is>
      </c>
      <c r="B1" s="1" t="inlineStr">
        <is>
          <t>Сценарий</t>
        </is>
      </c>
      <c r="C1" s="1" t="inlineStr">
        <is>
          <t>Цена ×</t>
        </is>
      </c>
      <c r="D1" s="1" t="inlineStr">
        <is>
          <t>FOB ×</t>
        </is>
      </c>
      <c r="E1" s="1" t="inlineStr">
        <is>
          <t>PPC %</t>
        </is>
      </c>
      <c r="F1" s="1" t="inlineStr">
        <is>
          <t>Цена €</t>
        </is>
      </c>
      <c r="G1" s="1" t="inlineStr">
        <is>
          <t>FOB $</t>
        </is>
      </c>
      <c r="H1" s="1" t="inlineStr">
        <is>
          <t>Landed €</t>
        </is>
      </c>
      <c r="I1" s="1" t="inlineStr">
        <is>
          <t>Прибыль €/шт</t>
        </is>
      </c>
      <c r="J1" s="1" t="inlineStr">
        <is>
          <t>Маржа %</t>
        </is>
      </c>
      <c r="K1" s="1" t="inlineStr">
        <is>
          <t>Прибыль €/мес (цель шт)</t>
        </is>
      </c>
    </row>
    <row r="2">
      <c r="A2" s="2">
        <f>'Модель SKU'!A2</f>
        <v/>
      </c>
      <c r="B2" s="15" t="inlineStr">
        <is>
          <t>Пессимист: демпинг −10% цены, FOB +20%, PPC 15%</t>
        </is>
      </c>
      <c r="C2" s="9" t="n">
        <v>0.9</v>
      </c>
      <c r="D2" s="9" t="n">
        <v>1.2</v>
      </c>
      <c r="E2" s="6" t="n">
        <v>0.15</v>
      </c>
      <c r="F2" s="7">
        <f>'Модель SKU'!C2*C2</f>
        <v/>
      </c>
      <c r="G2" s="7">
        <f>'Модель SKU'!G2*D2</f>
        <v/>
      </c>
      <c r="H2" s="7">
        <f>G2*Параметры!$B$2*(1+'Модель SKU'!I2+Параметры!$B$8)+'Модель SKU'!H2+Параметры!$B$7</f>
        <v/>
      </c>
      <c r="I2" s="7">
        <f>F2/(1+Параметры!$B$3)-F2*Параметры!$B$4-'Модель SKU'!D2-'Модель SKU'!E2-F2*E2-F2*Параметры!$B$6-H2</f>
        <v/>
      </c>
      <c r="J2" s="8">
        <f>I2/F2</f>
        <v/>
      </c>
      <c r="K2" s="10">
        <f>I2*'Модель SKU'!V2</f>
        <v/>
      </c>
    </row>
    <row r="3">
      <c r="A3" s="2">
        <f>'Модель SKU'!A2</f>
        <v/>
      </c>
      <c r="B3" s="2" t="inlineStr">
        <is>
          <t>База (= лист Модель)</t>
        </is>
      </c>
      <c r="C3" s="9" t="n">
        <v>1</v>
      </c>
      <c r="D3" s="9" t="n">
        <v>1</v>
      </c>
      <c r="E3" s="6">
        <f>'Модель SKU'!F2</f>
        <v/>
      </c>
      <c r="F3" s="7">
        <f>'Модель SKU'!C2*C3</f>
        <v/>
      </c>
      <c r="G3" s="7">
        <f>'Модель SKU'!G2*D3</f>
        <v/>
      </c>
      <c r="H3" s="7">
        <f>G3*Параметры!$B$2*(1+'Модель SKU'!I2+Параметры!$B$8)+'Модель SKU'!H2+Параметры!$B$7</f>
        <v/>
      </c>
      <c r="I3" s="7">
        <f>F3/(1+Параметры!$B$3)-F3*Параметры!$B$4-'Модель SKU'!D2-'Модель SKU'!E2-F3*E3-F3*Параметры!$B$6-H3</f>
        <v/>
      </c>
      <c r="J3" s="8">
        <f>I3/F3</f>
        <v/>
      </c>
      <c r="K3" s="10">
        <f>I3*'Модель SKU'!V2</f>
        <v/>
      </c>
    </row>
    <row r="4">
      <c r="A4" s="2">
        <f>'Модель SKU'!A2</f>
        <v/>
      </c>
      <c r="B4" s="16" t="inlineStr">
        <is>
          <t>Оптимист: цена база, FOB −10%, PPC 8%</t>
        </is>
      </c>
      <c r="C4" s="9" t="n">
        <v>1</v>
      </c>
      <c r="D4" s="9" t="n">
        <v>0.9</v>
      </c>
      <c r="E4" s="6" t="n">
        <v>0.08</v>
      </c>
      <c r="F4" s="7">
        <f>'Модель SKU'!C2*C4</f>
        <v/>
      </c>
      <c r="G4" s="7">
        <f>'Модель SKU'!G2*D4</f>
        <v/>
      </c>
      <c r="H4" s="7">
        <f>G4*Параметры!$B$2*(1+'Модель SKU'!I2+Параметры!$B$8)+'Модель SKU'!H2+Параметры!$B$7</f>
        <v/>
      </c>
      <c r="I4" s="7">
        <f>F4/(1+Параметры!$B$3)-F4*Параметры!$B$4-'Модель SKU'!D2-'Модель SKU'!E2-F4*E4-F4*Параметры!$B$6-H4</f>
        <v/>
      </c>
      <c r="J4" s="8">
        <f>I4/F4</f>
        <v/>
      </c>
      <c r="K4" s="10">
        <f>I4*'Модель SKU'!V2</f>
        <v/>
      </c>
    </row>
    <row r="5">
      <c r="A5" s="2">
        <f>'Модель SKU'!A3</f>
        <v/>
      </c>
      <c r="B5" s="15" t="inlineStr">
        <is>
          <t>Пессимист: демпинг −10% цены, FOB +20%, PPC 15%</t>
        </is>
      </c>
      <c r="C5" s="9" t="n">
        <v>0.9</v>
      </c>
      <c r="D5" s="9" t="n">
        <v>1.2</v>
      </c>
      <c r="E5" s="6" t="n">
        <v>0.15</v>
      </c>
      <c r="F5" s="7">
        <f>'Модель SKU'!C3*C5</f>
        <v/>
      </c>
      <c r="G5" s="7">
        <f>'Модель SKU'!G3*D5</f>
        <v/>
      </c>
      <c r="H5" s="7">
        <f>G5*Параметры!$B$2*(1+'Модель SKU'!I3+Параметры!$B$8)+'Модель SKU'!H3+Параметры!$B$7</f>
        <v/>
      </c>
      <c r="I5" s="7">
        <f>F5/(1+Параметры!$B$3)-F5*Параметры!$B$4-'Модель SKU'!D3-'Модель SKU'!E3-F5*E5-F5*Параметры!$B$6-H5</f>
        <v/>
      </c>
      <c r="J5" s="8">
        <f>I5/F5</f>
        <v/>
      </c>
      <c r="K5" s="10">
        <f>I5*'Модель SKU'!V3</f>
        <v/>
      </c>
    </row>
    <row r="6">
      <c r="A6" s="2">
        <f>'Модель SKU'!A3</f>
        <v/>
      </c>
      <c r="B6" s="2" t="inlineStr">
        <is>
          <t>База (= лист Модель)</t>
        </is>
      </c>
      <c r="C6" s="9" t="n">
        <v>1</v>
      </c>
      <c r="D6" s="9" t="n">
        <v>1</v>
      </c>
      <c r="E6" s="6">
        <f>'Модель SKU'!F3</f>
        <v/>
      </c>
      <c r="F6" s="7">
        <f>'Модель SKU'!C3*C6</f>
        <v/>
      </c>
      <c r="G6" s="7">
        <f>'Модель SKU'!G3*D6</f>
        <v/>
      </c>
      <c r="H6" s="7">
        <f>G6*Параметры!$B$2*(1+'Модель SKU'!I3+Параметры!$B$8)+'Модель SKU'!H3+Параметры!$B$7</f>
        <v/>
      </c>
      <c r="I6" s="7">
        <f>F6/(1+Параметры!$B$3)-F6*Параметры!$B$4-'Модель SKU'!D3-'Модель SKU'!E3-F6*E6-F6*Параметры!$B$6-H6</f>
        <v/>
      </c>
      <c r="J6" s="8">
        <f>I6/F6</f>
        <v/>
      </c>
      <c r="K6" s="10">
        <f>I6*'Модель SKU'!V3</f>
        <v/>
      </c>
    </row>
    <row r="7">
      <c r="A7" s="2">
        <f>'Модель SKU'!A3</f>
        <v/>
      </c>
      <c r="B7" s="16" t="inlineStr">
        <is>
          <t>Оптимист: цена база, FOB −10%, PPC 8%</t>
        </is>
      </c>
      <c r="C7" s="9" t="n">
        <v>1</v>
      </c>
      <c r="D7" s="9" t="n">
        <v>0.9</v>
      </c>
      <c r="E7" s="6" t="n">
        <v>0.08</v>
      </c>
      <c r="F7" s="7">
        <f>'Модель SKU'!C3*C7</f>
        <v/>
      </c>
      <c r="G7" s="7">
        <f>'Модель SKU'!G3*D7</f>
        <v/>
      </c>
      <c r="H7" s="7">
        <f>G7*Параметры!$B$2*(1+'Модель SKU'!I3+Параметры!$B$8)+'Модель SKU'!H3+Параметры!$B$7</f>
        <v/>
      </c>
      <c r="I7" s="7">
        <f>F7/(1+Параметры!$B$3)-F7*Параметры!$B$4-'Модель SKU'!D3-'Модель SKU'!E3-F7*E7-F7*Параметры!$B$6-H7</f>
        <v/>
      </c>
      <c r="J7" s="8">
        <f>I7/F7</f>
        <v/>
      </c>
      <c r="K7" s="10">
        <f>I7*'Модель SKU'!V3</f>
        <v/>
      </c>
    </row>
    <row r="8">
      <c r="A8" s="2">
        <f>'Модель SKU'!A4</f>
        <v/>
      </c>
      <c r="B8" s="15" t="inlineStr">
        <is>
          <t>Пессимист: демпинг −10% цены, FOB +20%, PPC 15%</t>
        </is>
      </c>
      <c r="C8" s="9" t="n">
        <v>0.9</v>
      </c>
      <c r="D8" s="9" t="n">
        <v>1.2</v>
      </c>
      <c r="E8" s="6" t="n">
        <v>0.15</v>
      </c>
      <c r="F8" s="7">
        <f>'Модель SKU'!C4*C8</f>
        <v/>
      </c>
      <c r="G8" s="7">
        <f>'Модель SKU'!G4*D8</f>
        <v/>
      </c>
      <c r="H8" s="7">
        <f>G8*Параметры!$B$2*(1+'Модель SKU'!I4+Параметры!$B$8)+'Модель SKU'!H4+Параметры!$B$7</f>
        <v/>
      </c>
      <c r="I8" s="7">
        <f>F8/(1+Параметры!$B$3)-F8*Параметры!$B$4-'Модель SKU'!D4-'Модель SKU'!E4-F8*E8-F8*Параметры!$B$6-H8</f>
        <v/>
      </c>
      <c r="J8" s="8">
        <f>I8/F8</f>
        <v/>
      </c>
      <c r="K8" s="10">
        <f>I8*'Модель SKU'!V4</f>
        <v/>
      </c>
    </row>
    <row r="9">
      <c r="A9" s="2">
        <f>'Модель SKU'!A4</f>
        <v/>
      </c>
      <c r="B9" s="2" t="inlineStr">
        <is>
          <t>База (= лист Модель)</t>
        </is>
      </c>
      <c r="C9" s="9" t="n">
        <v>1</v>
      </c>
      <c r="D9" s="9" t="n">
        <v>1</v>
      </c>
      <c r="E9" s="6">
        <f>'Модель SKU'!F4</f>
        <v/>
      </c>
      <c r="F9" s="7">
        <f>'Модель SKU'!C4*C9</f>
        <v/>
      </c>
      <c r="G9" s="7">
        <f>'Модель SKU'!G4*D9</f>
        <v/>
      </c>
      <c r="H9" s="7">
        <f>G9*Параметры!$B$2*(1+'Модель SKU'!I4+Параметры!$B$8)+'Модель SKU'!H4+Параметры!$B$7</f>
        <v/>
      </c>
      <c r="I9" s="7">
        <f>F9/(1+Параметры!$B$3)-F9*Параметры!$B$4-'Модель SKU'!D4-'Модель SKU'!E4-F9*E9-F9*Параметры!$B$6-H9</f>
        <v/>
      </c>
      <c r="J9" s="8">
        <f>I9/F9</f>
        <v/>
      </c>
      <c r="K9" s="10">
        <f>I9*'Модель SKU'!V4</f>
        <v/>
      </c>
    </row>
    <row r="10">
      <c r="A10" s="2">
        <f>'Модель SKU'!A4</f>
        <v/>
      </c>
      <c r="B10" s="16" t="inlineStr">
        <is>
          <t>Оптимист: цена база, FOB −10%, PPC 8%</t>
        </is>
      </c>
      <c r="C10" s="9" t="n">
        <v>1</v>
      </c>
      <c r="D10" s="9" t="n">
        <v>0.9</v>
      </c>
      <c r="E10" s="6" t="n">
        <v>0.08</v>
      </c>
      <c r="F10" s="7">
        <f>'Модель SKU'!C4*C10</f>
        <v/>
      </c>
      <c r="G10" s="7">
        <f>'Модель SKU'!G4*D10</f>
        <v/>
      </c>
      <c r="H10" s="7">
        <f>G10*Параметры!$B$2*(1+'Модель SKU'!I4+Параметры!$B$8)+'Модель SKU'!H4+Параметры!$B$7</f>
        <v/>
      </c>
      <c r="I10" s="7">
        <f>F10/(1+Параметры!$B$3)-F10*Параметры!$B$4-'Модель SKU'!D4-'Модель SKU'!E4-F10*E10-F10*Параметры!$B$6-H10</f>
        <v/>
      </c>
      <c r="J10" s="8">
        <f>I10/F10</f>
        <v/>
      </c>
      <c r="K10" s="10">
        <f>I10*'Модель SKU'!V4</f>
        <v/>
      </c>
    </row>
    <row r="11">
      <c r="A11" s="2">
        <f>'Модель SKU'!A5</f>
        <v/>
      </c>
      <c r="B11" s="15" t="inlineStr">
        <is>
          <t>Пессимист: демпинг −10% цены, FOB +20%, PPC 15%</t>
        </is>
      </c>
      <c r="C11" s="9" t="n">
        <v>0.9</v>
      </c>
      <c r="D11" s="9" t="n">
        <v>1.2</v>
      </c>
      <c r="E11" s="6" t="n">
        <v>0.15</v>
      </c>
      <c r="F11" s="7">
        <f>'Модель SKU'!C5*C11</f>
        <v/>
      </c>
      <c r="G11" s="7">
        <f>'Модель SKU'!G5*D11</f>
        <v/>
      </c>
      <c r="H11" s="7">
        <f>G11*Параметры!$B$2*(1+'Модель SKU'!I5+Параметры!$B$8)+'Модель SKU'!H5+Параметры!$B$7</f>
        <v/>
      </c>
      <c r="I11" s="7">
        <f>F11/(1+Параметры!$B$3)-F11*Параметры!$B$4-'Модель SKU'!D5-'Модель SKU'!E5-F11*E11-F11*Параметры!$B$6-H11</f>
        <v/>
      </c>
      <c r="J11" s="8">
        <f>I11/F11</f>
        <v/>
      </c>
      <c r="K11" s="10">
        <f>I11*'Модель SKU'!V5</f>
        <v/>
      </c>
    </row>
    <row r="12">
      <c r="A12" s="2">
        <f>'Модель SKU'!A5</f>
        <v/>
      </c>
      <c r="B12" s="2" t="inlineStr">
        <is>
          <t>База (= лист Модель)</t>
        </is>
      </c>
      <c r="C12" s="9" t="n">
        <v>1</v>
      </c>
      <c r="D12" s="9" t="n">
        <v>1</v>
      </c>
      <c r="E12" s="6">
        <f>'Модель SKU'!F5</f>
        <v/>
      </c>
      <c r="F12" s="7">
        <f>'Модель SKU'!C5*C12</f>
        <v/>
      </c>
      <c r="G12" s="7">
        <f>'Модель SKU'!G5*D12</f>
        <v/>
      </c>
      <c r="H12" s="7">
        <f>G12*Параметры!$B$2*(1+'Модель SKU'!I5+Параметры!$B$8)+'Модель SKU'!H5+Параметры!$B$7</f>
        <v/>
      </c>
      <c r="I12" s="7">
        <f>F12/(1+Параметры!$B$3)-F12*Параметры!$B$4-'Модель SKU'!D5-'Модель SKU'!E5-F12*E12-F12*Параметры!$B$6-H12</f>
        <v/>
      </c>
      <c r="J12" s="8">
        <f>I12/F12</f>
        <v/>
      </c>
      <c r="K12" s="10">
        <f>I12*'Модель SKU'!V5</f>
        <v/>
      </c>
    </row>
    <row r="13">
      <c r="A13" s="2">
        <f>'Модель SKU'!A5</f>
        <v/>
      </c>
      <c r="B13" s="16" t="inlineStr">
        <is>
          <t>Оптимист: цена база, FOB −10%, PPC 8%</t>
        </is>
      </c>
      <c r="C13" s="9" t="n">
        <v>1</v>
      </c>
      <c r="D13" s="9" t="n">
        <v>0.9</v>
      </c>
      <c r="E13" s="6" t="n">
        <v>0.08</v>
      </c>
      <c r="F13" s="7">
        <f>'Модель SKU'!C5*C13</f>
        <v/>
      </c>
      <c r="G13" s="7">
        <f>'Модель SKU'!G5*D13</f>
        <v/>
      </c>
      <c r="H13" s="7">
        <f>G13*Параметры!$B$2*(1+'Модель SKU'!I5+Параметры!$B$8)+'Модель SKU'!H5+Параметры!$B$7</f>
        <v/>
      </c>
      <c r="I13" s="7">
        <f>F13/(1+Параметры!$B$3)-F13*Параметры!$B$4-'Модель SKU'!D5-'Модель SKU'!E5-F13*E13-F13*Параметры!$B$6-H13</f>
        <v/>
      </c>
      <c r="J13" s="8">
        <f>I13/F13</f>
        <v/>
      </c>
      <c r="K13" s="10">
        <f>I13*'Модель SKU'!V5</f>
        <v/>
      </c>
    </row>
    <row r="14">
      <c r="A14" s="2">
        <f>'Модель SKU'!A6</f>
        <v/>
      </c>
      <c r="B14" s="15" t="inlineStr">
        <is>
          <t>Пессимист: демпинг −10% цены, FOB +20%, PPC 15%</t>
        </is>
      </c>
      <c r="C14" s="9" t="n">
        <v>0.9</v>
      </c>
      <c r="D14" s="9" t="n">
        <v>1.2</v>
      </c>
      <c r="E14" s="6" t="n">
        <v>0.15</v>
      </c>
      <c r="F14" s="7">
        <f>'Модель SKU'!C6*C14</f>
        <v/>
      </c>
      <c r="G14" s="7">
        <f>'Модель SKU'!G6*D14</f>
        <v/>
      </c>
      <c r="H14" s="7">
        <f>G14*Параметры!$B$2*(1+'Модель SKU'!I6+Параметры!$B$8)+'Модель SKU'!H6+Параметры!$B$7</f>
        <v/>
      </c>
      <c r="I14" s="7">
        <f>F14/(1+Параметры!$B$3)-F14*Параметры!$B$4-'Модель SKU'!D6-'Модель SKU'!E6-F14*E14-F14*Параметры!$B$6-H14</f>
        <v/>
      </c>
      <c r="J14" s="8">
        <f>I14/F14</f>
        <v/>
      </c>
      <c r="K14" s="10">
        <f>I14*'Модель SKU'!V6</f>
        <v/>
      </c>
    </row>
    <row r="15">
      <c r="A15" s="2">
        <f>'Модель SKU'!A6</f>
        <v/>
      </c>
      <c r="B15" s="2" t="inlineStr">
        <is>
          <t>База (= лист Модель)</t>
        </is>
      </c>
      <c r="C15" s="9" t="n">
        <v>1</v>
      </c>
      <c r="D15" s="9" t="n">
        <v>1</v>
      </c>
      <c r="E15" s="6">
        <f>'Модель SKU'!F6</f>
        <v/>
      </c>
      <c r="F15" s="7">
        <f>'Модель SKU'!C6*C15</f>
        <v/>
      </c>
      <c r="G15" s="7">
        <f>'Модель SKU'!G6*D15</f>
        <v/>
      </c>
      <c r="H15" s="7">
        <f>G15*Параметры!$B$2*(1+'Модель SKU'!I6+Параметры!$B$8)+'Модель SKU'!H6+Параметры!$B$7</f>
        <v/>
      </c>
      <c r="I15" s="7">
        <f>F15/(1+Параметры!$B$3)-F15*Параметры!$B$4-'Модель SKU'!D6-'Модель SKU'!E6-F15*E15-F15*Параметры!$B$6-H15</f>
        <v/>
      </c>
      <c r="J15" s="8">
        <f>I15/F15</f>
        <v/>
      </c>
      <c r="K15" s="10">
        <f>I15*'Модель SKU'!V6</f>
        <v/>
      </c>
    </row>
    <row r="16">
      <c r="A16" s="2">
        <f>'Модель SKU'!A6</f>
        <v/>
      </c>
      <c r="B16" s="16" t="inlineStr">
        <is>
          <t>Оптимист: цена база, FOB −10%, PPC 8%</t>
        </is>
      </c>
      <c r="C16" s="9" t="n">
        <v>1</v>
      </c>
      <c r="D16" s="9" t="n">
        <v>0.9</v>
      </c>
      <c r="E16" s="6" t="n">
        <v>0.08</v>
      </c>
      <c r="F16" s="7">
        <f>'Модель SKU'!C6*C16</f>
        <v/>
      </c>
      <c r="G16" s="7">
        <f>'Модель SKU'!G6*D16</f>
        <v/>
      </c>
      <c r="H16" s="7">
        <f>G16*Параметры!$B$2*(1+'Модель SKU'!I6+Параметры!$B$8)+'Модель SKU'!H6+Параметры!$B$7</f>
        <v/>
      </c>
      <c r="I16" s="7">
        <f>F16/(1+Параметры!$B$3)-F16*Параметры!$B$4-'Модель SKU'!D6-'Модель SKU'!E6-F16*E16-F16*Параметры!$B$6-H16</f>
        <v/>
      </c>
      <c r="J16" s="8">
        <f>I16/F16</f>
        <v/>
      </c>
      <c r="K16" s="10">
        <f>I16*'Модель SKU'!V6</f>
        <v/>
      </c>
    </row>
    <row r="17">
      <c r="A17" s="2">
        <f>'Модель SKU'!A7</f>
        <v/>
      </c>
      <c r="B17" s="15" t="inlineStr">
        <is>
          <t>Пессимист: демпинг −10% цены, FOB +20%, PPC 15%</t>
        </is>
      </c>
      <c r="C17" s="9" t="n">
        <v>0.9</v>
      </c>
      <c r="D17" s="9" t="n">
        <v>1.2</v>
      </c>
      <c r="E17" s="6" t="n">
        <v>0.15</v>
      </c>
      <c r="F17" s="7">
        <f>'Модель SKU'!C7*C17</f>
        <v/>
      </c>
      <c r="G17" s="7">
        <f>'Модель SKU'!G7*D17</f>
        <v/>
      </c>
      <c r="H17" s="7">
        <f>G17*Параметры!$B$2*(1+'Модель SKU'!I7+Параметры!$B$8)+'Модель SKU'!H7+Параметры!$B$7</f>
        <v/>
      </c>
      <c r="I17" s="7">
        <f>F17/(1+Параметры!$B$3)-F17*Параметры!$B$4-'Модель SKU'!D7-'Модель SKU'!E7-F17*E17-F17*Параметры!$B$6-H17</f>
        <v/>
      </c>
      <c r="J17" s="8">
        <f>I17/F17</f>
        <v/>
      </c>
      <c r="K17" s="10">
        <f>I17*'Модель SKU'!V7</f>
        <v/>
      </c>
    </row>
    <row r="18">
      <c r="A18" s="2">
        <f>'Модель SKU'!A7</f>
        <v/>
      </c>
      <c r="B18" s="2" t="inlineStr">
        <is>
          <t>База (= лист Модель)</t>
        </is>
      </c>
      <c r="C18" s="9" t="n">
        <v>1</v>
      </c>
      <c r="D18" s="9" t="n">
        <v>1</v>
      </c>
      <c r="E18" s="6">
        <f>'Модель SKU'!F7</f>
        <v/>
      </c>
      <c r="F18" s="7">
        <f>'Модель SKU'!C7*C18</f>
        <v/>
      </c>
      <c r="G18" s="7">
        <f>'Модель SKU'!G7*D18</f>
        <v/>
      </c>
      <c r="H18" s="7">
        <f>G18*Параметры!$B$2*(1+'Модель SKU'!I7+Параметры!$B$8)+'Модель SKU'!H7+Параметры!$B$7</f>
        <v/>
      </c>
      <c r="I18" s="7">
        <f>F18/(1+Параметры!$B$3)-F18*Параметры!$B$4-'Модель SKU'!D7-'Модель SKU'!E7-F18*E18-F18*Параметры!$B$6-H18</f>
        <v/>
      </c>
      <c r="J18" s="8">
        <f>I18/F18</f>
        <v/>
      </c>
      <c r="K18" s="10">
        <f>I18*'Модель SKU'!V7</f>
        <v/>
      </c>
    </row>
    <row r="19">
      <c r="A19" s="2">
        <f>'Модель SKU'!A7</f>
        <v/>
      </c>
      <c r="B19" s="16" t="inlineStr">
        <is>
          <t>Оптимист: цена база, FOB −10%, PPC 8%</t>
        </is>
      </c>
      <c r="C19" s="9" t="n">
        <v>1</v>
      </c>
      <c r="D19" s="9" t="n">
        <v>0.9</v>
      </c>
      <c r="E19" s="6" t="n">
        <v>0.08</v>
      </c>
      <c r="F19" s="7">
        <f>'Модель SKU'!C7*C19</f>
        <v/>
      </c>
      <c r="G19" s="7">
        <f>'Модель SKU'!G7*D19</f>
        <v/>
      </c>
      <c r="H19" s="7">
        <f>G19*Параметры!$B$2*(1+'Модель SKU'!I7+Параметры!$B$8)+'Модель SKU'!H7+Параметры!$B$7</f>
        <v/>
      </c>
      <c r="I19" s="7">
        <f>F19/(1+Параметры!$B$3)-F19*Параметры!$B$4-'Модель SKU'!D7-'Модель SKU'!E7-F19*E19-F19*Параметры!$B$6-H19</f>
        <v/>
      </c>
      <c r="J19" s="8">
        <f>I19/F19</f>
        <v/>
      </c>
      <c r="K19" s="10">
        <f>I19*'Модель SKU'!V7</f>
        <v/>
      </c>
    </row>
    <row r="20">
      <c r="A20" s="2">
        <f>'Модель SKU'!A8</f>
        <v/>
      </c>
      <c r="B20" s="15" t="inlineStr">
        <is>
          <t>Пессимист: демпинг −10% цены, FOB +20%, PPC 15%</t>
        </is>
      </c>
      <c r="C20" s="9" t="n">
        <v>0.9</v>
      </c>
      <c r="D20" s="9" t="n">
        <v>1.2</v>
      </c>
      <c r="E20" s="6" t="n">
        <v>0.15</v>
      </c>
      <c r="F20" s="7">
        <f>'Модель SKU'!C8*C20</f>
        <v/>
      </c>
      <c r="G20" s="7">
        <f>'Модель SKU'!G8*D20</f>
        <v/>
      </c>
      <c r="H20" s="7">
        <f>G20*Параметры!$B$2*(1+'Модель SKU'!I8+Параметры!$B$8)+'Модель SKU'!H8+Параметры!$B$7</f>
        <v/>
      </c>
      <c r="I20" s="7">
        <f>F20/(1+Параметры!$B$3)-F20*Параметры!$B$4-'Модель SKU'!D8-'Модель SKU'!E8-F20*E20-F20*Параметры!$B$6-H20</f>
        <v/>
      </c>
      <c r="J20" s="8">
        <f>I20/F20</f>
        <v/>
      </c>
      <c r="K20" s="10">
        <f>I20*'Модель SKU'!V8</f>
        <v/>
      </c>
    </row>
    <row r="21">
      <c r="A21" s="2">
        <f>'Модель SKU'!A8</f>
        <v/>
      </c>
      <c r="B21" s="2" t="inlineStr">
        <is>
          <t>База (= лист Модель)</t>
        </is>
      </c>
      <c r="C21" s="9" t="n">
        <v>1</v>
      </c>
      <c r="D21" s="9" t="n">
        <v>1</v>
      </c>
      <c r="E21" s="6">
        <f>'Модель SKU'!F8</f>
        <v/>
      </c>
      <c r="F21" s="7">
        <f>'Модель SKU'!C8*C21</f>
        <v/>
      </c>
      <c r="G21" s="7">
        <f>'Модель SKU'!G8*D21</f>
        <v/>
      </c>
      <c r="H21" s="7">
        <f>G21*Параметры!$B$2*(1+'Модель SKU'!I8+Параметры!$B$8)+'Модель SKU'!H8+Параметры!$B$7</f>
        <v/>
      </c>
      <c r="I21" s="7">
        <f>F21/(1+Параметры!$B$3)-F21*Параметры!$B$4-'Модель SKU'!D8-'Модель SKU'!E8-F21*E21-F21*Параметры!$B$6-H21</f>
        <v/>
      </c>
      <c r="J21" s="8">
        <f>I21/F21</f>
        <v/>
      </c>
      <c r="K21" s="10">
        <f>I21*'Модель SKU'!V8</f>
        <v/>
      </c>
    </row>
    <row r="22">
      <c r="A22" s="2">
        <f>'Модель SKU'!A8</f>
        <v/>
      </c>
      <c r="B22" s="16" t="inlineStr">
        <is>
          <t>Оптимист: цена база, FOB −10%, PPC 8%</t>
        </is>
      </c>
      <c r="C22" s="9" t="n">
        <v>1</v>
      </c>
      <c r="D22" s="9" t="n">
        <v>0.9</v>
      </c>
      <c r="E22" s="6" t="n">
        <v>0.08</v>
      </c>
      <c r="F22" s="7">
        <f>'Модель SKU'!C8*C22</f>
        <v/>
      </c>
      <c r="G22" s="7">
        <f>'Модель SKU'!G8*D22</f>
        <v/>
      </c>
      <c r="H22" s="7">
        <f>G22*Параметры!$B$2*(1+'Модель SKU'!I8+Параметры!$B$8)+'Модель SKU'!H8+Параметры!$B$7</f>
        <v/>
      </c>
      <c r="I22" s="7">
        <f>F22/(1+Параметры!$B$3)-F22*Параметры!$B$4-'Модель SKU'!D8-'Модель SKU'!E8-F22*E22-F22*Параметры!$B$6-H22</f>
        <v/>
      </c>
      <c r="J22" s="8">
        <f>I22/F22</f>
        <v/>
      </c>
      <c r="K22" s="10">
        <f>I22*'Модель SKU'!V8</f>
        <v/>
      </c>
    </row>
    <row r="23">
      <c r="A23" s="2">
        <f>'Модель SKU'!A9</f>
        <v/>
      </c>
      <c r="B23" s="15" t="inlineStr">
        <is>
          <t>Пессимист: демпинг −10% цены, FOB +20%, PPC 15%</t>
        </is>
      </c>
      <c r="C23" s="9" t="n">
        <v>0.9</v>
      </c>
      <c r="D23" s="9" t="n">
        <v>1.2</v>
      </c>
      <c r="E23" s="6" t="n">
        <v>0.15</v>
      </c>
      <c r="F23" s="7">
        <f>'Модель SKU'!C9*C23</f>
        <v/>
      </c>
      <c r="G23" s="7">
        <f>'Модель SKU'!G9*D23</f>
        <v/>
      </c>
      <c r="H23" s="7">
        <f>G23*Параметры!$B$2*(1+'Модель SKU'!I9+Параметры!$B$8)+'Модель SKU'!H9+Параметры!$B$7</f>
        <v/>
      </c>
      <c r="I23" s="7">
        <f>F23/(1+Параметры!$B$3)-F23*Параметры!$B$4-'Модель SKU'!D9-'Модель SKU'!E9-F23*E23-F23*Параметры!$B$6-H23</f>
        <v/>
      </c>
      <c r="J23" s="8">
        <f>I23/F23</f>
        <v/>
      </c>
      <c r="K23" s="10">
        <f>I23*'Модель SKU'!V9</f>
        <v/>
      </c>
    </row>
    <row r="24">
      <c r="A24" s="2">
        <f>'Модель SKU'!A9</f>
        <v/>
      </c>
      <c r="B24" s="2" t="inlineStr">
        <is>
          <t>База (= лист Модель)</t>
        </is>
      </c>
      <c r="C24" s="9" t="n">
        <v>1</v>
      </c>
      <c r="D24" s="9" t="n">
        <v>1</v>
      </c>
      <c r="E24" s="6">
        <f>'Модель SKU'!F9</f>
        <v/>
      </c>
      <c r="F24" s="7">
        <f>'Модель SKU'!C9*C24</f>
        <v/>
      </c>
      <c r="G24" s="7">
        <f>'Модель SKU'!G9*D24</f>
        <v/>
      </c>
      <c r="H24" s="7">
        <f>G24*Параметры!$B$2*(1+'Модель SKU'!I9+Параметры!$B$8)+'Модель SKU'!H9+Параметры!$B$7</f>
        <v/>
      </c>
      <c r="I24" s="7">
        <f>F24/(1+Параметры!$B$3)-F24*Параметры!$B$4-'Модель SKU'!D9-'Модель SKU'!E9-F24*E24-F24*Параметры!$B$6-H24</f>
        <v/>
      </c>
      <c r="J24" s="8">
        <f>I24/F24</f>
        <v/>
      </c>
      <c r="K24" s="10">
        <f>I24*'Модель SKU'!V9</f>
        <v/>
      </c>
    </row>
    <row r="25">
      <c r="A25" s="2">
        <f>'Модель SKU'!A9</f>
        <v/>
      </c>
      <c r="B25" s="16" t="inlineStr">
        <is>
          <t>Оптимист: цена база, FOB −10%, PPC 8%</t>
        </is>
      </c>
      <c r="C25" s="9" t="n">
        <v>1</v>
      </c>
      <c r="D25" s="9" t="n">
        <v>0.9</v>
      </c>
      <c r="E25" s="6" t="n">
        <v>0.08</v>
      </c>
      <c r="F25" s="7">
        <f>'Модель SKU'!C9*C25</f>
        <v/>
      </c>
      <c r="G25" s="7">
        <f>'Модель SKU'!G9*D25</f>
        <v/>
      </c>
      <c r="H25" s="7">
        <f>G25*Параметры!$B$2*(1+'Модель SKU'!I9+Параметры!$B$8)+'Модель SKU'!H9+Параметры!$B$7</f>
        <v/>
      </c>
      <c r="I25" s="7">
        <f>F25/(1+Параметры!$B$3)-F25*Параметры!$B$4-'Модель SKU'!D9-'Модель SKU'!E9-F25*E25-F25*Параметры!$B$6-H25</f>
        <v/>
      </c>
      <c r="J25" s="8">
        <f>I25/F25</f>
        <v/>
      </c>
      <c r="K25" s="10">
        <f>I25*'Модель SKU'!V9</f>
        <v/>
      </c>
    </row>
    <row r="26">
      <c r="A26" s="2">
        <f>'Модель SKU'!A10</f>
        <v/>
      </c>
      <c r="B26" s="15" t="inlineStr">
        <is>
          <t>Пессимист: демпинг −10% цены, FOB +20%, PPC 15%</t>
        </is>
      </c>
      <c r="C26" s="9" t="n">
        <v>0.9</v>
      </c>
      <c r="D26" s="9" t="n">
        <v>1.2</v>
      </c>
      <c r="E26" s="6" t="n">
        <v>0.15</v>
      </c>
      <c r="F26" s="7">
        <f>'Модель SKU'!C10*C26</f>
        <v/>
      </c>
      <c r="G26" s="7">
        <f>'Модель SKU'!G10*D26</f>
        <v/>
      </c>
      <c r="H26" s="7">
        <f>G26*Параметры!$B$2*(1+'Модель SKU'!I10+Параметры!$B$8)+'Модель SKU'!H10+Параметры!$B$7</f>
        <v/>
      </c>
      <c r="I26" s="7">
        <f>F26/(1+Параметры!$B$3)-F26*Параметры!$B$4-'Модель SKU'!D10-'Модель SKU'!E10-F26*E26-F26*Параметры!$B$6-H26</f>
        <v/>
      </c>
      <c r="J26" s="8">
        <f>I26/F26</f>
        <v/>
      </c>
      <c r="K26" s="10">
        <f>I26*'Модель SKU'!V10</f>
        <v/>
      </c>
    </row>
    <row r="27">
      <c r="A27" s="2">
        <f>'Модель SKU'!A10</f>
        <v/>
      </c>
      <c r="B27" s="2" t="inlineStr">
        <is>
          <t>База (= лист Модель)</t>
        </is>
      </c>
      <c r="C27" s="9" t="n">
        <v>1</v>
      </c>
      <c r="D27" s="9" t="n">
        <v>1</v>
      </c>
      <c r="E27" s="6">
        <f>'Модель SKU'!F10</f>
        <v/>
      </c>
      <c r="F27" s="7">
        <f>'Модель SKU'!C10*C27</f>
        <v/>
      </c>
      <c r="G27" s="7">
        <f>'Модель SKU'!G10*D27</f>
        <v/>
      </c>
      <c r="H27" s="7">
        <f>G27*Параметры!$B$2*(1+'Модель SKU'!I10+Параметры!$B$8)+'Модель SKU'!H10+Параметры!$B$7</f>
        <v/>
      </c>
      <c r="I27" s="7">
        <f>F27/(1+Параметры!$B$3)-F27*Параметры!$B$4-'Модель SKU'!D10-'Модель SKU'!E10-F27*E27-F27*Параметры!$B$6-H27</f>
        <v/>
      </c>
      <c r="J27" s="8">
        <f>I27/F27</f>
        <v/>
      </c>
      <c r="K27" s="10">
        <f>I27*'Модель SKU'!V10</f>
        <v/>
      </c>
    </row>
    <row r="28">
      <c r="A28" s="2">
        <f>'Модель SKU'!A10</f>
        <v/>
      </c>
      <c r="B28" s="16" t="inlineStr">
        <is>
          <t>Оптимист: цена база, FOB −10%, PPC 8%</t>
        </is>
      </c>
      <c r="C28" s="9" t="n">
        <v>1</v>
      </c>
      <c r="D28" s="9" t="n">
        <v>0.9</v>
      </c>
      <c r="E28" s="6" t="n">
        <v>0.08</v>
      </c>
      <c r="F28" s="7">
        <f>'Модель SKU'!C10*C28</f>
        <v/>
      </c>
      <c r="G28" s="7">
        <f>'Модель SKU'!G10*D28</f>
        <v/>
      </c>
      <c r="H28" s="7">
        <f>G28*Параметры!$B$2*(1+'Модель SKU'!I10+Параметры!$B$8)+'Модель SKU'!H10+Параметры!$B$7</f>
        <v/>
      </c>
      <c r="I28" s="7">
        <f>F28/(1+Параметры!$B$3)-F28*Параметры!$B$4-'Модель SKU'!D10-'Модель SKU'!E10-F28*E28-F28*Параметры!$B$6-H28</f>
        <v/>
      </c>
      <c r="J28" s="8">
        <f>I28/F28</f>
        <v/>
      </c>
      <c r="K28" s="10">
        <f>I28*'Модель SKU'!V10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9" customWidth="1" min="3" max="3"/>
    <col width="11" customWidth="1" min="4" max="4"/>
    <col width="15" customWidth="1" min="5" max="5"/>
    <col width="13" customWidth="1" min="6" max="6"/>
    <col width="11" customWidth="1" min="7" max="7"/>
    <col width="11" customWidth="1" min="8" max="8"/>
    <col width="12" customWidth="1" min="9" max="9"/>
    <col width="10" customWidth="1" min="10" max="10"/>
  </cols>
  <sheetData>
    <row r="1">
      <c r="A1" s="1" t="inlineStr">
        <is>
          <t>SKU</t>
        </is>
      </c>
      <c r="B1" s="1" t="inlineStr">
        <is>
          <t>Волна</t>
        </is>
      </c>
      <c r="C1" s="1" t="inlineStr">
        <is>
          <t>Партия, шт</t>
        </is>
      </c>
      <c r="D1" s="1" t="inlineStr">
        <is>
          <t>FOB $ итого</t>
        </is>
      </c>
      <c r="E1" s="1" t="inlineStr">
        <is>
          <t>Landed € итого (инвестиция в товар)</t>
        </is>
      </c>
      <c r="F1" s="1" t="inlineStr">
        <is>
          <t>Продано за 90 дней (разгон), шт</t>
        </is>
      </c>
      <c r="G1" s="1" t="inlineStr">
        <is>
          <t>Выручка 90д €</t>
        </is>
      </c>
      <c r="H1" s="1" t="inlineStr">
        <is>
          <t>Прибыль 90д €</t>
        </is>
      </c>
      <c r="I1" s="1" t="inlineStr">
        <is>
          <t>Возврат инвестиции за 90д, %</t>
        </is>
      </c>
      <c r="J1" s="1" t="inlineStr">
        <is>
          <t>Остаток стока, шт</t>
        </is>
      </c>
    </row>
    <row r="2">
      <c r="A2" s="2">
        <f>'Модель SKU'!A2</f>
        <v/>
      </c>
      <c r="B2" s="2">
        <f>'Модель SKU'!B2</f>
        <v/>
      </c>
      <c r="C2" s="17">
        <f>'Модель SKU'!U2</f>
        <v/>
      </c>
      <c r="D2" s="10">
        <f>'Модель SKU'!G2*C2</f>
        <v/>
      </c>
      <c r="E2" s="10">
        <f>'Модель SKU'!N2*C2</f>
        <v/>
      </c>
      <c r="F2" s="17">
        <f>MIN(C2,ROUND('Модель SKU'!V2*3*Параметры!$B$11,0))</f>
        <v/>
      </c>
      <c r="G2" s="10">
        <f>'Модель SKU'!C2*F2</f>
        <v/>
      </c>
      <c r="H2" s="10">
        <f>'Модель SKU'!O2*F2</f>
        <v/>
      </c>
      <c r="I2" s="18">
        <f>H2/E2</f>
        <v/>
      </c>
      <c r="J2" s="17">
        <f>C2-F2</f>
        <v/>
      </c>
    </row>
    <row r="3">
      <c r="A3" s="2">
        <f>'Модель SKU'!A3</f>
        <v/>
      </c>
      <c r="B3" s="2">
        <f>'Модель SKU'!B3</f>
        <v/>
      </c>
      <c r="C3" s="17">
        <f>'Модель SKU'!U3</f>
        <v/>
      </c>
      <c r="D3" s="10">
        <f>'Модель SKU'!G3*C3</f>
        <v/>
      </c>
      <c r="E3" s="10">
        <f>'Модель SKU'!N3*C3</f>
        <v/>
      </c>
      <c r="F3" s="17">
        <f>MIN(C3,ROUND('Модель SKU'!V3*3*Параметры!$B$11,0))</f>
        <v/>
      </c>
      <c r="G3" s="10">
        <f>'Модель SKU'!C3*F3</f>
        <v/>
      </c>
      <c r="H3" s="10">
        <f>'Модель SKU'!O3*F3</f>
        <v/>
      </c>
      <c r="I3" s="18">
        <f>H3/E3</f>
        <v/>
      </c>
      <c r="J3" s="17">
        <f>C3-F3</f>
        <v/>
      </c>
    </row>
    <row r="4">
      <c r="A4" s="2">
        <f>'Модель SKU'!A4</f>
        <v/>
      </c>
      <c r="B4" s="2">
        <f>'Модель SKU'!B4</f>
        <v/>
      </c>
      <c r="C4" s="17">
        <f>'Модель SKU'!U4</f>
        <v/>
      </c>
      <c r="D4" s="10">
        <f>'Модель SKU'!G4*C4</f>
        <v/>
      </c>
      <c r="E4" s="10">
        <f>'Модель SKU'!N4*C4</f>
        <v/>
      </c>
      <c r="F4" s="17">
        <f>MIN(C4,ROUND('Модель SKU'!V4*3*Параметры!$B$11,0))</f>
        <v/>
      </c>
      <c r="G4" s="10">
        <f>'Модель SKU'!C4*F4</f>
        <v/>
      </c>
      <c r="H4" s="10">
        <f>'Модель SKU'!O4*F4</f>
        <v/>
      </c>
      <c r="I4" s="18">
        <f>H4/E4</f>
        <v/>
      </c>
      <c r="J4" s="17">
        <f>C4-F4</f>
        <v/>
      </c>
    </row>
    <row r="5">
      <c r="A5" s="2">
        <f>'Модель SKU'!A5</f>
        <v/>
      </c>
      <c r="B5" s="2">
        <f>'Модель SKU'!B5</f>
        <v/>
      </c>
      <c r="C5" s="17">
        <f>'Модель SKU'!U5</f>
        <v/>
      </c>
      <c r="D5" s="10">
        <f>'Модель SKU'!G5*C5</f>
        <v/>
      </c>
      <c r="E5" s="10">
        <f>'Модель SKU'!N5*C5</f>
        <v/>
      </c>
      <c r="F5" s="17">
        <f>MIN(C5,ROUND('Модель SKU'!V5*3*Параметры!$B$11,0))</f>
        <v/>
      </c>
      <c r="G5" s="10">
        <f>'Модель SKU'!C5*F5</f>
        <v/>
      </c>
      <c r="H5" s="10">
        <f>'Модель SKU'!O5*F5</f>
        <v/>
      </c>
      <c r="I5" s="18">
        <f>H5/E5</f>
        <v/>
      </c>
      <c r="J5" s="17">
        <f>C5-F5</f>
        <v/>
      </c>
    </row>
    <row r="6">
      <c r="A6" s="2">
        <f>'Модель SKU'!A6</f>
        <v/>
      </c>
      <c r="B6" s="2">
        <f>'Модель SKU'!B6</f>
        <v/>
      </c>
      <c r="C6" s="17">
        <f>'Модель SKU'!U6</f>
        <v/>
      </c>
      <c r="D6" s="10">
        <f>'Модель SKU'!G6*C6</f>
        <v/>
      </c>
      <c r="E6" s="10">
        <f>'Модель SKU'!N6*C6</f>
        <v/>
      </c>
      <c r="F6" s="17">
        <f>MIN(C6,ROUND('Модель SKU'!V6*3*Параметры!$B$11,0))</f>
        <v/>
      </c>
      <c r="G6" s="10">
        <f>'Модель SKU'!C6*F6</f>
        <v/>
      </c>
      <c r="H6" s="10">
        <f>'Модель SKU'!O6*F6</f>
        <v/>
      </c>
      <c r="I6" s="18">
        <f>H6/E6</f>
        <v/>
      </c>
      <c r="J6" s="17">
        <f>C6-F6</f>
        <v/>
      </c>
    </row>
    <row r="7">
      <c r="A7" s="2">
        <f>'Модель SKU'!A7</f>
        <v/>
      </c>
      <c r="B7" s="2">
        <f>'Модель SKU'!B7</f>
        <v/>
      </c>
      <c r="C7" s="17">
        <f>'Модель SKU'!U7</f>
        <v/>
      </c>
      <c r="D7" s="10">
        <f>'Модель SKU'!G7*C7</f>
        <v/>
      </c>
      <c r="E7" s="10">
        <f>'Модель SKU'!N7*C7</f>
        <v/>
      </c>
      <c r="F7" s="17">
        <f>MIN(C7,ROUND('Модель SKU'!V7*3*Параметры!$B$11,0))</f>
        <v/>
      </c>
      <c r="G7" s="10">
        <f>'Модель SKU'!C7*F7</f>
        <v/>
      </c>
      <c r="H7" s="10">
        <f>'Модель SKU'!O7*F7</f>
        <v/>
      </c>
      <c r="I7" s="18">
        <f>H7/E7</f>
        <v/>
      </c>
      <c r="J7" s="17">
        <f>C7-F7</f>
        <v/>
      </c>
    </row>
    <row r="8">
      <c r="A8" s="2">
        <f>'Модель SKU'!A8</f>
        <v/>
      </c>
      <c r="B8" s="2">
        <f>'Модель SKU'!B8</f>
        <v/>
      </c>
      <c r="C8" s="17">
        <f>'Модель SKU'!U8</f>
        <v/>
      </c>
      <c r="D8" s="10">
        <f>'Модель SKU'!G8*C8</f>
        <v/>
      </c>
      <c r="E8" s="10">
        <f>'Модель SKU'!N8*C8</f>
        <v/>
      </c>
      <c r="F8" s="17">
        <f>MIN(C8,ROUND('Модель SKU'!V8*3*Параметры!$B$11,0))</f>
        <v/>
      </c>
      <c r="G8" s="10">
        <f>'Модель SKU'!C8*F8</f>
        <v/>
      </c>
      <c r="H8" s="10">
        <f>'Модель SKU'!O8*F8</f>
        <v/>
      </c>
      <c r="I8" s="18">
        <f>H8/E8</f>
        <v/>
      </c>
      <c r="J8" s="17">
        <f>C8-F8</f>
        <v/>
      </c>
    </row>
    <row r="9">
      <c r="A9" s="2">
        <f>'Модель SKU'!A9</f>
        <v/>
      </c>
      <c r="B9" s="2">
        <f>'Модель SKU'!B9</f>
        <v/>
      </c>
      <c r="C9" s="17">
        <f>'Модель SKU'!U9</f>
        <v/>
      </c>
      <c r="D9" s="10">
        <f>'Модель SKU'!G9*C9</f>
        <v/>
      </c>
      <c r="E9" s="10">
        <f>'Модель SKU'!N9*C9</f>
        <v/>
      </c>
      <c r="F9" s="17">
        <f>MIN(C9,ROUND('Модель SKU'!V9*3*Параметры!$B$11,0))</f>
        <v/>
      </c>
      <c r="G9" s="10">
        <f>'Модель SKU'!C9*F9</f>
        <v/>
      </c>
      <c r="H9" s="10">
        <f>'Модель SKU'!O9*F9</f>
        <v/>
      </c>
      <c r="I9" s="18">
        <f>H9/E9</f>
        <v/>
      </c>
      <c r="J9" s="17">
        <f>C9-F9</f>
        <v/>
      </c>
    </row>
    <row r="10">
      <c r="A10" s="2">
        <f>'Модель SKU'!A10</f>
        <v/>
      </c>
      <c r="B10" s="2">
        <f>'Модель SKU'!B10</f>
        <v/>
      </c>
      <c r="C10" s="17">
        <f>'Модель SKU'!U10</f>
        <v/>
      </c>
      <c r="D10" s="10">
        <f>'Модель SKU'!G10*C10</f>
        <v/>
      </c>
      <c r="E10" s="10">
        <f>'Модель SKU'!N10*C10</f>
        <v/>
      </c>
      <c r="F10" s="17">
        <f>MIN(C10,ROUND('Модель SKU'!V10*3*Параметры!$B$11,0))</f>
        <v/>
      </c>
      <c r="G10" s="10">
        <f>'Модель SKU'!C10*F10</f>
        <v/>
      </c>
      <c r="H10" s="10">
        <f>'Модель SKU'!O10*F10</f>
        <v/>
      </c>
      <c r="I10" s="18">
        <f>H10/E10</f>
        <v/>
      </c>
      <c r="J10" s="17">
        <f>C10-F10</f>
        <v/>
      </c>
    </row>
    <row r="11">
      <c r="A11" s="19" t="inlineStr">
        <is>
          <t>ИТОГО</t>
        </is>
      </c>
      <c r="B11" s="19" t="inlineStr"/>
      <c r="C11" s="19">
        <f>SUM(C2:C10)</f>
        <v/>
      </c>
      <c r="D11" s="20">
        <f>SUM(D2:D10)</f>
        <v/>
      </c>
      <c r="E11" s="20">
        <f>SUM(E2:E10)</f>
        <v/>
      </c>
      <c r="F11" s="19">
        <f>SUM(F2:F10)</f>
        <v/>
      </c>
      <c r="G11" s="20">
        <f>SUM(G2:G10)</f>
        <v/>
      </c>
      <c r="H11" s="20">
        <f>SUM(H2:H10)</f>
        <v/>
      </c>
      <c r="I11" s="21">
        <f>H11/E11</f>
        <v/>
      </c>
      <c r="J11" s="19">
        <f>SUM(J2:J10)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Статья (план, €)</t>
        </is>
      </c>
      <c r="B1" s="1" t="inlineStr">
        <is>
          <t>Июл 26</t>
        </is>
      </c>
      <c r="C1" s="1" t="inlineStr">
        <is>
          <t>Авг 26</t>
        </is>
      </c>
      <c r="D1" s="1" t="inlineStr">
        <is>
          <t>Сен 26</t>
        </is>
      </c>
      <c r="E1" s="1" t="inlineStr">
        <is>
          <t>Окт 26</t>
        </is>
      </c>
      <c r="F1" s="1" t="inlineStr">
        <is>
          <t>Ноя 26</t>
        </is>
      </c>
      <c r="G1" s="1" t="inlineStr">
        <is>
          <t>Дек 26</t>
        </is>
      </c>
      <c r="H1" s="1" t="inlineStr">
        <is>
          <t>Янв 27</t>
        </is>
      </c>
      <c r="I1" s="1" t="inlineStr">
        <is>
          <t>Фев 27</t>
        </is>
      </c>
      <c r="J1" s="1" t="inlineStr">
        <is>
          <t>Мар 27</t>
        </is>
      </c>
      <c r="K1" s="1" t="inlineStr">
        <is>
          <t>Апр 27</t>
        </is>
      </c>
      <c r="L1" s="1" t="inlineStr">
        <is>
          <t>Май 27</t>
        </is>
      </c>
      <c r="M1" s="1" t="inlineStr">
        <is>
          <t>Июн 27</t>
        </is>
      </c>
      <c r="N1" s="1" t="inlineStr">
        <is>
          <t>Итого</t>
        </is>
      </c>
    </row>
    <row r="2">
      <c r="A2" s="2" t="inlineStr">
        <is>
          <t>Образцы + экспресс (все SKU)</t>
        </is>
      </c>
      <c r="B2" s="22" t="n">
        <v>-1200</v>
      </c>
      <c r="C2" s="22" t="n">
        <v>0</v>
      </c>
      <c r="D2" s="22" t="n">
        <v>0</v>
      </c>
      <c r="E2" s="22" t="n">
        <v>0</v>
      </c>
      <c r="F2" s="22" t="n">
        <v>0</v>
      </c>
      <c r="G2" s="22" t="n">
        <v>0</v>
      </c>
      <c r="H2" s="22" t="n">
        <v>0</v>
      </c>
      <c r="I2" s="22" t="n">
        <v>0</v>
      </c>
      <c r="J2" s="22" t="n">
        <v>0</v>
      </c>
      <c r="K2" s="22" t="n">
        <v>0</v>
      </c>
      <c r="L2" s="22" t="n">
        <v>0</v>
      </c>
      <c r="M2" s="22" t="n">
        <v>0</v>
      </c>
      <c r="N2" s="22">
        <f>SUM(B2:M2)</f>
        <v/>
      </c>
    </row>
    <row r="3">
      <c r="A3" s="2" t="inlineStr">
        <is>
          <t>Депозит 30% — Волна 1 + Страт</t>
        </is>
      </c>
      <c r="B3" s="22" t="n">
        <v>-5160</v>
      </c>
      <c r="C3" s="22" t="n">
        <v>0</v>
      </c>
      <c r="D3" s="22" t="n">
        <v>0</v>
      </c>
      <c r="E3" s="22" t="n">
        <v>0</v>
      </c>
      <c r="F3" s="22" t="n">
        <v>0</v>
      </c>
      <c r="G3" s="22" t="n">
        <v>0</v>
      </c>
      <c r="H3" s="22" t="n">
        <v>0</v>
      </c>
      <c r="I3" s="22" t="n">
        <v>0</v>
      </c>
      <c r="J3" s="22" t="n">
        <v>0</v>
      </c>
      <c r="K3" s="22" t="n">
        <v>0</v>
      </c>
      <c r="L3" s="22" t="n">
        <v>0</v>
      </c>
      <c r="M3" s="22" t="n">
        <v>0</v>
      </c>
      <c r="N3" s="22">
        <f>SUM(B3:M3)</f>
        <v/>
      </c>
    </row>
    <row r="4">
      <c r="A4" s="2" t="inlineStr">
        <is>
          <t>Баланс 70% — Волна 1 + Страт</t>
        </is>
      </c>
      <c r="B4" s="22" t="n">
        <v>0</v>
      </c>
      <c r="C4" s="22" t="n">
        <v>-12040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2" t="n">
        <v>0</v>
      </c>
      <c r="K4" s="22" t="n">
        <v>0</v>
      </c>
      <c r="L4" s="22" t="n">
        <v>0</v>
      </c>
      <c r="M4" s="22" t="n">
        <v>0</v>
      </c>
      <c r="N4" s="22">
        <f>SUM(B4:M4)</f>
        <v/>
      </c>
    </row>
    <row r="5">
      <c r="A5" s="2" t="inlineStr">
        <is>
          <t>Фрахт + пошлины + QC — Волна 1</t>
        </is>
      </c>
      <c r="B5" s="22" t="n">
        <v>0</v>
      </c>
      <c r="C5" s="22" t="n">
        <v>0</v>
      </c>
      <c r="D5" s="22" t="n">
        <v>-5000</v>
      </c>
      <c r="E5" s="22" t="n">
        <v>0</v>
      </c>
      <c r="F5" s="22" t="n">
        <v>0</v>
      </c>
      <c r="G5" s="22" t="n">
        <v>0</v>
      </c>
      <c r="H5" s="22" t="n">
        <v>0</v>
      </c>
      <c r="I5" s="22" t="n">
        <v>0</v>
      </c>
      <c r="J5" s="22" t="n">
        <v>0</v>
      </c>
      <c r="K5" s="22" t="n">
        <v>0</v>
      </c>
      <c r="L5" s="22" t="n">
        <v>0</v>
      </c>
      <c r="M5" s="22" t="n">
        <v>0</v>
      </c>
      <c r="N5" s="22">
        <f>SUM(B5:M5)</f>
        <v/>
      </c>
    </row>
    <row r="6">
      <c r="A6" s="2" t="inlineStr">
        <is>
          <t>Комплаенс (GPSR/LUCID/LFGB/OEKO/EUIPO)</t>
        </is>
      </c>
      <c r="B6" s="22" t="n">
        <v>-3000</v>
      </c>
      <c r="C6" s="22" t="n">
        <v>-2500</v>
      </c>
      <c r="D6" s="22" t="n">
        <v>0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0</v>
      </c>
      <c r="M6" s="22" t="n">
        <v>0</v>
      </c>
      <c r="N6" s="22">
        <f>SUM(B6:M6)</f>
        <v/>
      </c>
    </row>
    <row r="7">
      <c r="A7" s="2" t="inlineStr">
        <is>
          <t>Депозит 30% — Волна 2</t>
        </is>
      </c>
      <c r="B7" s="22" t="n">
        <v>0</v>
      </c>
      <c r="C7" s="22" t="n">
        <v>0</v>
      </c>
      <c r="D7" s="22" t="n">
        <v>0</v>
      </c>
      <c r="E7" s="22" t="n">
        <v>0</v>
      </c>
      <c r="F7" s="22" t="n">
        <v>-2290</v>
      </c>
      <c r="G7" s="22" t="n">
        <v>0</v>
      </c>
      <c r="H7" s="22" t="n">
        <v>0</v>
      </c>
      <c r="I7" s="22" t="n">
        <v>0</v>
      </c>
      <c r="J7" s="22" t="n">
        <v>0</v>
      </c>
      <c r="K7" s="22" t="n">
        <v>0</v>
      </c>
      <c r="L7" s="22" t="n">
        <v>0</v>
      </c>
      <c r="M7" s="22" t="n">
        <v>0</v>
      </c>
      <c r="N7" s="22">
        <f>SUM(B7:M7)</f>
        <v/>
      </c>
    </row>
    <row r="8">
      <c r="A8" s="2" t="inlineStr">
        <is>
          <t>Баланс 70% — Волна 2</t>
        </is>
      </c>
      <c r="B8" s="22" t="n">
        <v>0</v>
      </c>
      <c r="C8" s="22" t="n">
        <v>0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-5340</v>
      </c>
      <c r="I8" s="22" t="n">
        <v>0</v>
      </c>
      <c r="J8" s="22" t="n">
        <v>0</v>
      </c>
      <c r="K8" s="22" t="n">
        <v>0</v>
      </c>
      <c r="L8" s="22" t="n">
        <v>0</v>
      </c>
      <c r="M8" s="22" t="n">
        <v>0</v>
      </c>
      <c r="N8" s="22">
        <f>SUM(B8:M8)</f>
        <v/>
      </c>
    </row>
    <row r="9">
      <c r="A9" s="2" t="inlineStr">
        <is>
          <t>Фрахт + пошлины + QC — Волна 2</t>
        </is>
      </c>
      <c r="B9" s="22" t="n">
        <v>0</v>
      </c>
      <c r="C9" s="22" t="n">
        <v>0</v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0</v>
      </c>
      <c r="I9" s="22" t="n">
        <v>-2000</v>
      </c>
      <c r="J9" s="22" t="n">
        <v>0</v>
      </c>
      <c r="K9" s="22" t="n">
        <v>0</v>
      </c>
      <c r="L9" s="22" t="n">
        <v>0</v>
      </c>
      <c r="M9" s="22" t="n">
        <v>0</v>
      </c>
      <c r="N9" s="22">
        <f>SUM(B9:M9)</f>
        <v/>
      </c>
    </row>
    <row r="10">
      <c r="A10" s="2" t="inlineStr">
        <is>
          <t>Реинвест в сток (повторные заказы, landed)</t>
        </is>
      </c>
      <c r="B10" s="22" t="n">
        <v>0</v>
      </c>
      <c r="C10" s="22" t="n">
        <v>0</v>
      </c>
      <c r="D10" s="22" t="n">
        <v>-4000</v>
      </c>
      <c r="E10" s="22" t="n">
        <v>-7000</v>
      </c>
      <c r="F10" s="22" t="n">
        <v>-10000</v>
      </c>
      <c r="G10" s="22" t="n">
        <v>-12000</v>
      </c>
      <c r="H10" s="22" t="n">
        <v>-14000</v>
      </c>
      <c r="I10" s="22" t="n">
        <v>-16000</v>
      </c>
      <c r="J10" s="22" t="n">
        <v>-18000</v>
      </c>
      <c r="K10" s="22" t="n">
        <v>-20000</v>
      </c>
      <c r="L10" s="22" t="n">
        <v>-21000</v>
      </c>
      <c r="M10" s="22" t="n">
        <v>-21000</v>
      </c>
      <c r="N10" s="22">
        <f>SUM(B10:M10)</f>
        <v/>
      </c>
    </row>
    <row r="11">
      <c r="A11" s="2" t="inlineStr">
        <is>
          <t>PPC (по выручке, разгон)</t>
        </is>
      </c>
      <c r="B11" s="22" t="n">
        <v>0</v>
      </c>
      <c r="C11" s="22" t="n">
        <v>0</v>
      </c>
      <c r="D11" s="22" t="n">
        <v>0</v>
      </c>
      <c r="E11" s="22" t="n">
        <v>-2100</v>
      </c>
      <c r="F11" s="22" t="n">
        <v>-3500</v>
      </c>
      <c r="G11" s="22" t="n">
        <v>-4900</v>
      </c>
      <c r="H11" s="22" t="n">
        <v>-5600</v>
      </c>
      <c r="I11" s="22" t="n">
        <v>-6300</v>
      </c>
      <c r="J11" s="22" t="n">
        <v>-8400</v>
      </c>
      <c r="K11" s="22" t="n">
        <v>-9900</v>
      </c>
      <c r="L11" s="22" t="n">
        <v>-11100</v>
      </c>
      <c r="M11" s="22" t="n">
        <v>-11800</v>
      </c>
      <c r="N11" s="22">
        <f>SUM(B11:M11)</f>
        <v/>
      </c>
    </row>
    <row r="12">
      <c r="A12" s="2" t="inlineStr">
        <is>
          <t>Поступления от продаж (выручка − сборы Amazon)</t>
        </is>
      </c>
      <c r="B12" s="22" t="n">
        <v>0</v>
      </c>
      <c r="C12" s="22" t="n">
        <v>0</v>
      </c>
      <c r="D12" s="22" t="n">
        <v>0</v>
      </c>
      <c r="E12" s="22" t="n">
        <v>10900</v>
      </c>
      <c r="F12" s="22" t="n">
        <v>18100</v>
      </c>
      <c r="G12" s="22" t="n">
        <v>25300</v>
      </c>
      <c r="H12" s="22" t="n">
        <v>29000</v>
      </c>
      <c r="I12" s="22" t="n">
        <v>32600</v>
      </c>
      <c r="J12" s="22" t="n">
        <v>42900</v>
      </c>
      <c r="K12" s="22" t="n">
        <v>49500</v>
      </c>
      <c r="L12" s="22" t="n">
        <v>56200</v>
      </c>
      <c r="M12" s="22" t="n">
        <v>58400</v>
      </c>
      <c r="N12" s="22">
        <f>SUM(B12:M12)</f>
        <v/>
      </c>
    </row>
    <row r="13">
      <c r="A13" s="19" t="inlineStr">
        <is>
          <t>Чистый поток месяца</t>
        </is>
      </c>
      <c r="B13" s="20">
        <f>SUM(B2:B12)</f>
        <v/>
      </c>
      <c r="C13" s="20">
        <f>SUM(C2:C12)</f>
        <v/>
      </c>
      <c r="D13" s="20">
        <f>SUM(D2:D12)</f>
        <v/>
      </c>
      <c r="E13" s="20">
        <f>SUM(E2:E12)</f>
        <v/>
      </c>
      <c r="F13" s="20">
        <f>SUM(F2:F12)</f>
        <v/>
      </c>
      <c r="G13" s="20">
        <f>SUM(G2:G12)</f>
        <v/>
      </c>
      <c r="H13" s="20">
        <f>SUM(H2:H12)</f>
        <v/>
      </c>
      <c r="I13" s="20">
        <f>SUM(I2:I12)</f>
        <v/>
      </c>
      <c r="J13" s="20">
        <f>SUM(J2:J12)</f>
        <v/>
      </c>
      <c r="K13" s="20">
        <f>SUM(K2:K12)</f>
        <v/>
      </c>
      <c r="L13" s="20">
        <f>SUM(L2:L12)</f>
        <v/>
      </c>
      <c r="M13" s="20">
        <f>SUM(M2:M12)</f>
        <v/>
      </c>
      <c r="N13" s="20">
        <f>SUM(B13:M13)</f>
        <v/>
      </c>
    </row>
    <row r="14">
      <c r="A14" s="19" t="inlineStr">
        <is>
          <t>Кумулятивный поток</t>
        </is>
      </c>
      <c r="B14" s="20">
        <f>B13</f>
        <v/>
      </c>
      <c r="C14" s="20">
        <f>B14+C13</f>
        <v/>
      </c>
      <c r="D14" s="20">
        <f>C14+D13</f>
        <v/>
      </c>
      <c r="E14" s="20">
        <f>D14+E13</f>
        <v/>
      </c>
      <c r="F14" s="20">
        <f>E14+F13</f>
        <v/>
      </c>
      <c r="G14" s="20">
        <f>F14+G13</f>
        <v/>
      </c>
      <c r="H14" s="20">
        <f>G14+H13</f>
        <v/>
      </c>
      <c r="I14" s="20">
        <f>H14+I13</f>
        <v/>
      </c>
      <c r="J14" s="20">
        <f>I14+J13</f>
        <v/>
      </c>
      <c r="K14" s="20">
        <f>J14+K13</f>
        <v/>
      </c>
      <c r="L14" s="20">
        <f>K14+L13</f>
        <v/>
      </c>
      <c r="M14" s="20">
        <f>L14+M13</f>
        <v/>
      </c>
      <c r="N14" s="20" t="inlineStr"/>
    </row>
    <row r="16">
      <c r="A16" s="4" t="inlineStr">
        <is>
          <t>План. Поступления = выручка − сборы Amazon (НДС/referral/FBA/возвраты); PPC и повторные закупки стока — отдельными строками. Разгон W1: окт 30% → мар 100% цели; W2: мар 30% → июн 100%. Кумулятив к июню 2027 ≈ +€78 тыс. — сходится с моделью прибыли. Пересчитать фактическими котировками после RFQ.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2026-07-08T12:42:01Z</dcterms:created>
  <dcterms:modified xmlns:dcterms="http://purl.org/dc/terms/" xmlns:xsi="http://www.w3.org/2001/XMLSchema-instance" xsi:type="dcterms:W3CDTF">2026-07-08T12:42:01Z</dcterms:modified>
</cp:coreProperties>
</file>